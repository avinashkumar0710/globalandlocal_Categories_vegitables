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4\web data\"/>
    </mc:Choice>
  </mc:AlternateContent>
  <xr:revisionPtr revIDLastSave="0" documentId="13_ncr:1_{ED29A180-596C-47F6-81C0-523555778B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Sheet1!$A$1:$U$784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4" i="1" l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37" i="1"/>
  <c r="G636" i="1"/>
  <c r="G635" i="1"/>
  <c r="G634" i="1"/>
  <c r="G633" i="1"/>
  <c r="G632" i="1"/>
  <c r="G631" i="1"/>
  <c r="G629" i="1"/>
  <c r="G625" i="1"/>
  <c r="G624" i="1"/>
  <c r="G623" i="1"/>
  <c r="G622" i="1"/>
  <c r="G620" i="1"/>
  <c r="G618" i="1"/>
  <c r="G617" i="1"/>
  <c r="G616" i="1"/>
  <c r="G615" i="1"/>
  <c r="G614" i="1"/>
  <c r="G613" i="1"/>
  <c r="G612" i="1"/>
  <c r="G611" i="1"/>
  <c r="G610" i="1"/>
  <c r="G609" i="1"/>
  <c r="G607" i="1"/>
  <c r="G603" i="1"/>
  <c r="G602" i="1"/>
  <c r="G601" i="1"/>
  <c r="G600" i="1"/>
  <c r="G599" i="1"/>
  <c r="G598" i="1"/>
  <c r="G597" i="1"/>
  <c r="G596" i="1"/>
  <c r="G595" i="1"/>
  <c r="G593" i="1"/>
  <c r="G591" i="1"/>
  <c r="G590" i="1"/>
  <c r="G589" i="1"/>
  <c r="G588" i="1"/>
  <c r="G587" i="1"/>
  <c r="G586" i="1"/>
  <c r="G585" i="1"/>
  <c r="G584" i="1"/>
  <c r="G583" i="1"/>
  <c r="G582" i="1"/>
  <c r="G580" i="1"/>
  <c r="G577" i="1"/>
  <c r="G576" i="1"/>
  <c r="G575" i="1"/>
  <c r="G574" i="1"/>
  <c r="G573" i="1"/>
  <c r="G572" i="1"/>
  <c r="G571" i="1"/>
  <c r="G570" i="1"/>
  <c r="G569" i="1"/>
  <c r="G567" i="1"/>
  <c r="G564" i="1"/>
  <c r="G563" i="1"/>
  <c r="G562" i="1"/>
  <c r="G561" i="1"/>
  <c r="G560" i="1"/>
  <c r="G559" i="1"/>
  <c r="G558" i="1"/>
  <c r="G557" i="1"/>
  <c r="G555" i="1"/>
  <c r="G553" i="1"/>
  <c r="G552" i="1"/>
  <c r="G551" i="1"/>
  <c r="G550" i="1"/>
  <c r="G549" i="1"/>
  <c r="G548" i="1"/>
  <c r="G547" i="1"/>
  <c r="G546" i="1"/>
  <c r="G545" i="1"/>
  <c r="G543" i="1"/>
  <c r="G542" i="1"/>
  <c r="G541" i="1"/>
  <c r="G540" i="1"/>
  <c r="G539" i="1"/>
  <c r="G535" i="1"/>
  <c r="G534" i="1"/>
  <c r="G532" i="1"/>
  <c r="G529" i="1"/>
  <c r="G528" i="1"/>
  <c r="G527" i="1"/>
  <c r="G526" i="1"/>
  <c r="G525" i="1"/>
  <c r="G524" i="1"/>
  <c r="G523" i="1"/>
  <c r="G522" i="1"/>
  <c r="G520" i="1"/>
  <c r="G517" i="1"/>
  <c r="G516" i="1"/>
  <c r="G515" i="1"/>
  <c r="G514" i="1"/>
  <c r="G513" i="1"/>
  <c r="G512" i="1"/>
  <c r="G511" i="1"/>
  <c r="G509" i="1"/>
  <c r="G507" i="1"/>
  <c r="G506" i="1"/>
  <c r="G505" i="1"/>
  <c r="G504" i="1"/>
  <c r="G503" i="1"/>
  <c r="G502" i="1"/>
  <c r="G501" i="1"/>
  <c r="G500" i="1"/>
  <c r="G499" i="1"/>
  <c r="G497" i="1"/>
  <c r="G495" i="1"/>
  <c r="G494" i="1"/>
  <c r="G493" i="1"/>
  <c r="G492" i="1"/>
  <c r="G491" i="1"/>
  <c r="G490" i="1"/>
  <c r="G489" i="1"/>
  <c r="G488" i="1"/>
  <c r="G486" i="1"/>
  <c r="G484" i="1"/>
  <c r="G483" i="1"/>
  <c r="G482" i="1"/>
  <c r="G481" i="1"/>
  <c r="G480" i="1"/>
  <c r="G479" i="1"/>
  <c r="G478" i="1"/>
  <c r="G477" i="1"/>
  <c r="G476" i="1"/>
  <c r="G474" i="1"/>
  <c r="G471" i="1"/>
  <c r="G470" i="1"/>
  <c r="G469" i="1"/>
  <c r="G468" i="1"/>
  <c r="G467" i="1"/>
  <c r="G466" i="1"/>
  <c r="G465" i="1"/>
  <c r="G464" i="1"/>
  <c r="G463" i="1"/>
  <c r="G462" i="1"/>
  <c r="G460" i="1"/>
  <c r="G459" i="1"/>
  <c r="G458" i="1"/>
  <c r="G457" i="1"/>
  <c r="G455" i="1"/>
  <c r="G454" i="1"/>
  <c r="G453" i="1"/>
  <c r="G452" i="1"/>
  <c r="G450" i="1"/>
  <c r="G449" i="1"/>
  <c r="G448" i="1"/>
  <c r="G446" i="1"/>
  <c r="G445" i="1"/>
  <c r="G444" i="1"/>
  <c r="G443" i="1"/>
  <c r="G442" i="1"/>
  <c r="G441" i="1"/>
  <c r="G439" i="1"/>
  <c r="G437" i="1"/>
  <c r="G436" i="1"/>
  <c r="G435" i="1"/>
  <c r="G434" i="1"/>
  <c r="G433" i="1"/>
  <c r="G432" i="1"/>
  <c r="G431" i="1"/>
  <c r="G430" i="1"/>
  <c r="G429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3" i="1"/>
  <c r="G411" i="1"/>
  <c r="G410" i="1"/>
  <c r="G409" i="1"/>
  <c r="G408" i="1"/>
  <c r="G407" i="1"/>
  <c r="G406" i="1"/>
  <c r="G405" i="1"/>
  <c r="G404" i="1"/>
  <c r="G403" i="1"/>
  <c r="G402" i="1"/>
  <c r="G400" i="1"/>
  <c r="G399" i="1"/>
  <c r="G397" i="1"/>
  <c r="G396" i="1"/>
  <c r="G395" i="1"/>
  <c r="G393" i="1"/>
  <c r="G392" i="1"/>
  <c r="G391" i="1"/>
  <c r="G388" i="1"/>
  <c r="G387" i="1"/>
  <c r="G386" i="1"/>
  <c r="G385" i="1"/>
  <c r="G384" i="1"/>
  <c r="G382" i="1"/>
  <c r="G379" i="1"/>
  <c r="G378" i="1"/>
  <c r="G377" i="1"/>
  <c r="G376" i="1"/>
  <c r="G374" i="1"/>
  <c r="G373" i="1"/>
  <c r="G372" i="1"/>
  <c r="G371" i="1"/>
  <c r="G369" i="1"/>
  <c r="G368" i="1"/>
  <c r="G367" i="1"/>
  <c r="G365" i="1"/>
  <c r="G364" i="1"/>
  <c r="G363" i="1"/>
  <c r="G361" i="1"/>
  <c r="G358" i="1"/>
  <c r="G357" i="1"/>
  <c r="G356" i="1"/>
  <c r="G355" i="1"/>
  <c r="G354" i="1"/>
  <c r="G353" i="1"/>
  <c r="G352" i="1"/>
  <c r="G351" i="1"/>
  <c r="G350" i="1"/>
  <c r="G349" i="1"/>
  <c r="G347" i="1"/>
  <c r="G344" i="1"/>
  <c r="G343" i="1"/>
  <c r="G342" i="1"/>
  <c r="G341" i="1"/>
  <c r="G340" i="1"/>
  <c r="G339" i="1"/>
  <c r="G338" i="1"/>
  <c r="G337" i="1"/>
  <c r="G336" i="1"/>
  <c r="G335" i="1"/>
  <c r="G333" i="1"/>
  <c r="G332" i="1"/>
  <c r="G331" i="1"/>
  <c r="G330" i="1"/>
  <c r="G329" i="1"/>
  <c r="G328" i="1"/>
  <c r="G327" i="1"/>
  <c r="G326" i="1"/>
  <c r="G324" i="1"/>
  <c r="G323" i="1"/>
  <c r="G321" i="1"/>
  <c r="G320" i="1"/>
  <c r="G318" i="1"/>
  <c r="G317" i="1"/>
  <c r="G316" i="1"/>
  <c r="G315" i="1"/>
  <c r="G314" i="1"/>
  <c r="G313" i="1"/>
  <c r="G312" i="1"/>
  <c r="G311" i="1"/>
  <c r="G310" i="1"/>
  <c r="G309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2" i="1"/>
  <c r="G289" i="1"/>
  <c r="G288" i="1"/>
  <c r="G287" i="1"/>
  <c r="G286" i="1"/>
  <c r="G285" i="1"/>
  <c r="G284" i="1"/>
  <c r="G283" i="1"/>
  <c r="G282" i="1"/>
  <c r="G281" i="1"/>
  <c r="G280" i="1"/>
  <c r="G279" i="1"/>
  <c r="G277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2" i="1"/>
  <c r="G260" i="1"/>
  <c r="G259" i="1"/>
  <c r="G258" i="1"/>
  <c r="G257" i="1"/>
  <c r="G256" i="1"/>
  <c r="G255" i="1"/>
  <c r="G254" i="1"/>
  <c r="G253" i="1"/>
  <c r="G252" i="1"/>
  <c r="G250" i="1"/>
  <c r="G247" i="1"/>
  <c r="G246" i="1"/>
  <c r="G245" i="1"/>
  <c r="G244" i="1"/>
  <c r="G243" i="1"/>
  <c r="G242" i="1"/>
  <c r="G241" i="1"/>
  <c r="G240" i="1"/>
  <c r="G238" i="1"/>
  <c r="G237" i="1"/>
  <c r="G236" i="1"/>
  <c r="G235" i="1"/>
  <c r="G234" i="1"/>
  <c r="G233" i="1"/>
  <c r="G232" i="1"/>
  <c r="G231" i="1"/>
  <c r="G230" i="1"/>
  <c r="G229" i="1"/>
  <c r="G227" i="1"/>
  <c r="G226" i="1"/>
  <c r="G225" i="1"/>
  <c r="G224" i="1"/>
  <c r="G223" i="1"/>
  <c r="G222" i="1"/>
  <c r="G221" i="1"/>
  <c r="G220" i="1"/>
  <c r="G219" i="1"/>
  <c r="G218" i="1"/>
  <c r="G217" i="1"/>
  <c r="G215" i="1"/>
  <c r="G213" i="1"/>
  <c r="G212" i="1"/>
  <c r="G211" i="1"/>
  <c r="G210" i="1"/>
  <c r="G209" i="1"/>
  <c r="G208" i="1"/>
  <c r="G207" i="1"/>
  <c r="G206" i="1"/>
  <c r="G205" i="1"/>
  <c r="G203" i="1"/>
  <c r="G201" i="1"/>
  <c r="G200" i="1"/>
  <c r="G199" i="1"/>
  <c r="G198" i="1"/>
  <c r="G197" i="1"/>
  <c r="G196" i="1"/>
  <c r="G195" i="1"/>
  <c r="G194" i="1"/>
  <c r="G193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1" i="1"/>
  <c r="G160" i="1"/>
  <c r="G159" i="1"/>
  <c r="G158" i="1"/>
  <c r="G157" i="1"/>
  <c r="G156" i="1"/>
  <c r="G155" i="1"/>
  <c r="G154" i="1"/>
  <c r="G153" i="1"/>
  <c r="G152" i="1"/>
  <c r="G150" i="1"/>
  <c r="G149" i="1"/>
  <c r="G148" i="1"/>
  <c r="G147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7" i="1"/>
  <c r="G126" i="1"/>
  <c r="G125" i="1"/>
  <c r="G124" i="1"/>
  <c r="G123" i="1"/>
  <c r="G122" i="1"/>
  <c r="G121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0" i="1"/>
  <c r="G79" i="1"/>
  <c r="G78" i="1"/>
  <c r="G77" i="1"/>
  <c r="G76" i="1"/>
  <c r="G75" i="1"/>
  <c r="G74" i="1"/>
  <c r="G73" i="1"/>
  <c r="G72" i="1"/>
  <c r="G71" i="1"/>
  <c r="G70" i="1"/>
  <c r="G69" i="1"/>
  <c r="G67" i="1"/>
  <c r="G66" i="1"/>
  <c r="G65" i="1"/>
  <c r="G64" i="1"/>
  <c r="G63" i="1"/>
  <c r="G62" i="1"/>
  <c r="G61" i="1"/>
  <c r="G60" i="1"/>
  <c r="G59" i="1"/>
  <c r="G58" i="1"/>
  <c r="G57" i="1"/>
  <c r="G56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<sst xmlns="http://schemas.openxmlformats.org/spreadsheetml/2006/main" count="9682" uniqueCount="3033">
  <si>
    <t>hs2</t>
  </si>
  <si>
    <t>org_name</t>
  </si>
  <si>
    <t>org_type</t>
  </si>
  <si>
    <t>state</t>
  </si>
  <si>
    <t>district</t>
  </si>
  <si>
    <t>contact_person</t>
  </si>
  <si>
    <t>phone</t>
  </si>
  <si>
    <t>email</t>
  </si>
  <si>
    <t>website</t>
  </si>
  <si>
    <t>address</t>
  </si>
  <si>
    <t>fpo_registration_id</t>
  </si>
  <si>
    <t>packhouse_certification</t>
  </si>
  <si>
    <t>apeda_rcmc_no</t>
  </si>
  <si>
    <t>mpeda_registration_no</t>
  </si>
  <si>
    <t>eic_approval_no</t>
  </si>
  <si>
    <t>verification_status</t>
  </si>
  <si>
    <t>verification_date</t>
  </si>
  <si>
    <t>notes</t>
  </si>
  <si>
    <t>data_version</t>
  </si>
  <si>
    <t>last_updated_utc</t>
  </si>
  <si>
    <t>source</t>
  </si>
  <si>
    <t>Agricultural and Processed Food Products Export Development Authority (APEDA) - HQ</t>
  </si>
  <si>
    <t>Association</t>
  </si>
  <si>
    <t>National Capital Territory of Delhi</t>
  </si>
  <si>
    <t>New Delhi</t>
  </si>
  <si>
    <t>Chairman</t>
  </si>
  <si>
    <t>chairman@apeda.gov.in</t>
  </si>
  <si>
    <t>https://apeda.gov.in</t>
  </si>
  <si>
    <t>3rd Floor, NCUI Building, 3 Siri Institutional Area, August Kranti Marg, New Delhi - 110016</t>
  </si>
  <si>
    <t>Meat Plant Approval &amp; Health Cert</t>
  </si>
  <si>
    <t>RCMC Issuing Authority</t>
  </si>
  <si>
    <t>Verified</t>
  </si>
  <si>
    <t>Apex body for meat &amp; processed food export</t>
  </si>
  <si>
    <t>2025-11-19T15:00:00Z</t>
  </si>
  <si>
    <t>hs_contact_india</t>
  </si>
  <si>
    <t>APEDA Regional Office Mumbai</t>
  </si>
  <si>
    <t>Maharashtra</t>
  </si>
  <si>
    <t>Mumbai Suburban</t>
  </si>
  <si>
    <t>Regional Director</t>
  </si>
  <si>
    <t>apeda-mumbai@apeda.gov.in</t>
  </si>
  <si>
    <t>Unit No.3, 4th Floor, Bank of Baroda Bldg, Mumbai Samachar Marg, Fort, Mumbai - 400001</t>
  </si>
  <si>
    <t>RCMC &amp; Plant Approval Maharashtra</t>
  </si>
  <si>
    <t>APEDA Regional Office Hyderabad</t>
  </si>
  <si>
    <t>Telangana</t>
  </si>
  <si>
    <t>Hyderabad</t>
  </si>
  <si>
    <t>apeda-hyd@apeda.gov.in</t>
  </si>
  <si>
    <t>Pioneer House, 8th Floor, Somajiguda, Hyderabad - 500082</t>
  </si>
  <si>
    <t>RCMC &amp; Plant Approval South India</t>
  </si>
  <si>
    <t>Export Inspection Council (EIC) - Delhi</t>
  </si>
  <si>
    <t>Director</t>
  </si>
  <si>
    <t>eic@eicindia.gov.in</t>
  </si>
  <si>
    <t>https://eicindia.gov.in</t>
  </si>
  <si>
    <t>ND YMCA Cultural Centre Bldg, 3rd Floor, Jai Singh Road, New Delhi - 110001</t>
  </si>
  <si>
    <t>Issues Health Certificates for meat</t>
  </si>
  <si>
    <t>Mandatory for all meat shipments</t>
  </si>
  <si>
    <t>Allanasons Pvt Ltd</t>
  </si>
  <si>
    <t>Exporter/Processor</t>
  </si>
  <si>
    <t>Uttar Pradesh</t>
  </si>
  <si>
    <t>Unnao</t>
  </si>
  <si>
    <t>Managing Director</t>
  </si>
  <si>
    <t>info@allanasons.com</t>
  </si>
  <si>
    <t>https://allanasons.com</t>
  </si>
  <si>
    <t>Allana House, Allana Road, Colaba, Mumbai - 400001 (corp); Plant: Unnao</t>
  </si>
  <si>
    <t>Top buffalo meat exporter, EU &amp; Halal approved</t>
  </si>
  <si>
    <t>Al Kabeer Exports Pvt Ltd</t>
  </si>
  <si>
    <t>Medak</t>
  </si>
  <si>
    <t>info@alkabeer.com</t>
  </si>
  <si>
    <t>https://alkabeer.com</t>
  </si>
  <si>
    <t>Plot No. 55 to 58, Rudraram Village, Patancheru Mandal, Medak - 502329</t>
  </si>
  <si>
    <t>EU-approved</t>
  </si>
  <si>
    <t>Largest frozen buffalo meat exporter</t>
  </si>
  <si>
    <t>M K R Frozen Food Exports Pvt Ltd</t>
  </si>
  <si>
    <t>Aligarh</t>
  </si>
  <si>
    <t>info@mkrindia.com</t>
  </si>
  <si>
    <t>https://mkrindia.com</t>
  </si>
  <si>
    <t>Khair Road, Aligarh - 202001</t>
  </si>
  <si>
    <t>Major carabeef exporter</t>
  </si>
  <si>
    <t>Frigerio Conserva Allana Ltd</t>
  </si>
  <si>
    <t>Aurangabad</t>
  </si>
  <si>
    <t>Plant: MIDC Paithan, Aurangabad</t>
  </si>
  <si>
    <t>Part of Allana group</t>
  </si>
  <si>
    <t>Arabian Exports Pvt Ltd</t>
  </si>
  <si>
    <t>Meerut</t>
  </si>
  <si>
    <t>info@arabianexports.com</t>
  </si>
  <si>
    <t>Aligarh Muslim University Road, Meerut</t>
  </si>
  <si>
    <t>Buffalo meat</t>
  </si>
  <si>
    <t>Hind Agro Industries Ltd</t>
  </si>
  <si>
    <t>info@hindagro.com</t>
  </si>
  <si>
    <t>https://hindagro.com</t>
  </si>
  <si>
    <t>Khair Byepass Road, Aligarh - 202001</t>
  </si>
  <si>
    <t>Top 5 exporter</t>
  </si>
  <si>
    <t>Al-Noor Export House</t>
  </si>
  <si>
    <t>https://alnoorexports.com</t>
  </si>
  <si>
    <t>Unnao Industrial Area</t>
  </si>
  <si>
    <t>Venky's India Ltd (VH Group)</t>
  </si>
  <si>
    <t>Pune</t>
  </si>
  <si>
    <t>info@venkys.com</t>
  </si>
  <si>
    <t>https://venkys.com</t>
  </si>
  <si>
    <t>Venkateshwara House, S.No.114/A/2, Pune-Sinhagad Road, Pune - 411030</t>
  </si>
  <si>
    <t>Poultry meat &amp; SPF eggs</t>
  </si>
  <si>
    <t>Largest integrated poultry exporter</t>
  </si>
  <si>
    <t>Suguna Foods Private Limited</t>
  </si>
  <si>
    <t>Tamil Nadu</t>
  </si>
  <si>
    <t>Coimbatore</t>
  </si>
  <si>
    <t>info@sugunafoods.com</t>
  </si>
  <si>
    <t>https://sugunafoods.com</t>
  </si>
  <si>
    <t>Udumalpet Road, Coimbatore - 641005</t>
  </si>
  <si>
    <t>Poultry meat</t>
  </si>
  <si>
    <t>Major broiler integrator</t>
  </si>
  <si>
    <t>IBP Venky's (Joint venture)</t>
  </si>
  <si>
    <t>Multiple plants</t>
  </si>
  <si>
    <t>Poultry processed products</t>
  </si>
  <si>
    <t>National Meat &amp; Poultry Processing Board (NMPPB)</t>
  </si>
  <si>
    <t>CEO</t>
  </si>
  <si>
    <t>ceo.nmppb@nic.in</t>
  </si>
  <si>
    <t>Room No.221, Krishi Bhawan, New Delhi - 110001</t>
  </si>
  <si>
    <t>Skill development &amp; training in meat sector</t>
  </si>
  <si>
    <t>Under Ministry of Food Processing</t>
  </si>
  <si>
    <t>ICAR-National Research Centre on Meat</t>
  </si>
  <si>
    <t>Skill Centre</t>
  </si>
  <si>
    <t>director.nrcmeat@icar.gov.in</t>
  </si>
  <si>
    <t>https://nrcmeat.icar.gov.in</t>
  </si>
  <si>
    <t>Chengicherla, Boduppal, Hyderabad - 500092</t>
  </si>
  <si>
    <t>Training in meat processing &amp; quality</t>
  </si>
  <si>
    <t>Leading govt meat technology institute</t>
  </si>
  <si>
    <t>Marine Products Export Development Authority (MPEDA) - Headquarters</t>
  </si>
  <si>
    <t>Kerala</t>
  </si>
  <si>
    <t>Ernakulam</t>
  </si>
  <si>
    <t>chairperson@mpeda.gov.in</t>
  </si>
  <si>
    <t>https://mpeda.gov.in</t>
  </si>
  <si>
    <t>MPEDA House, Panampilly Avenue, Kochi - 682036</t>
  </si>
  <si>
    <t>EU/USFDA Approval Authority</t>
  </si>
  <si>
    <t>Apex body for marine exports</t>
  </si>
  <si>
    <t>2025-11-19T14:00:00Z</t>
  </si>
  <si>
    <t>MPEDA Regional Centre Vijayawada</t>
  </si>
  <si>
    <t>Andhra Pradesh</t>
  </si>
  <si>
    <t>Krishna</t>
  </si>
  <si>
    <t>mpeda.vijayawada@mpeda.gov.in</t>
  </si>
  <si>
    <t>Near Benz Circle, Vijayawada - 520010</t>
  </si>
  <si>
    <t>RCMC &amp; Plant Approval AP</t>
  </si>
  <si>
    <t>MPEDA Regional Centre Bhubaneswar</t>
  </si>
  <si>
    <t>Odisha</t>
  </si>
  <si>
    <t>Khurda</t>
  </si>
  <si>
    <t>mpeda.bhubaneswar@mpeda.gov.in</t>
  </si>
  <si>
    <t>N-4/208, IRC Village, Bhubaneswar - 751015</t>
  </si>
  <si>
    <t>RCMC &amp; Plant Approval Odisha</t>
  </si>
  <si>
    <t>MPEDA Regional Centre Kolkata</t>
  </si>
  <si>
    <t>West Bengal</t>
  </si>
  <si>
    <t>Kolkata</t>
  </si>
  <si>
    <t>mpeda.kolkata@mpeda.gov.in</t>
  </si>
  <si>
    <t>Plot IND-5, Sector-I, East Kolkata Township - 700107</t>
  </si>
  <si>
    <t>RCMC &amp; Plant Approval WB</t>
  </si>
  <si>
    <t>MPEDA Regional Centre Veraval</t>
  </si>
  <si>
    <t>Gujarat</t>
  </si>
  <si>
    <t>Gir Somnath</t>
  </si>
  <si>
    <t>GIDC Estate, Veraval - 362269</t>
  </si>
  <si>
    <t>RCMC &amp; Plant Approval Gujarat</t>
  </si>
  <si>
    <t>MPEDA Regional Centre Chennai</t>
  </si>
  <si>
    <t>Chennai</t>
  </si>
  <si>
    <t>mpeda.chennai@mpeda.gov.in</t>
  </si>
  <si>
    <t>No.5 Dr. Guruswamy Road, Chetpet, Chennai - 600031</t>
  </si>
  <si>
    <t>RCMC &amp; Plant Approval TN</t>
  </si>
  <si>
    <t>Export Inspection Council (EIC) - Kochi</t>
  </si>
  <si>
    <t>Director (I/C)</t>
  </si>
  <si>
    <t>eic-kochi@eicindia.gov.in</t>
  </si>
  <si>
    <t>Willingdon Island, Kochi - 682029</t>
  </si>
  <si>
    <t>Health Certificate Issuing Authority</t>
  </si>
  <si>
    <t>Mandatory for EU/US</t>
  </si>
  <si>
    <t>National Fisheries Development Board (NFDB)</t>
  </si>
  <si>
    <t>Chief Executive</t>
  </si>
  <si>
    <t>info.nfdb@nic.in</t>
  </si>
  <si>
    <t>https://nfdb.gov.in</t>
  </si>
  <si>
    <t>Fish Building, PVNR Expressway, Hyderabad - 500052</t>
  </si>
  <si>
    <t>PMMSY subsidies</t>
  </si>
  <si>
    <t>ICAR-Central Institute of Fisheries Technology (CIFT)</t>
  </si>
  <si>
    <t>director.cift@icar.gov.in</t>
  </si>
  <si>
    <t>https://cift.icar.gov.in</t>
  </si>
  <si>
    <t>HACCP &amp; processing training</t>
  </si>
  <si>
    <t>Avanti Frozen Foods Pvt Ltd</t>
  </si>
  <si>
    <t>East Godavari</t>
  </si>
  <si>
    <t>Managing Director Director</t>
  </si>
  <si>
    <t>info@avantifeeds.com</t>
  </si>
  <si>
    <t>https://avantifeeds.com</t>
  </si>
  <si>
    <t>GRT Building, Near Iron Yard, Kakinada - 533001</t>
  </si>
  <si>
    <t>EU-approved plant</t>
  </si>
  <si>
    <t>Top shrimp exporter</t>
  </si>
  <si>
    <t>Nekkanti Sea Foods Ltd</t>
  </si>
  <si>
    <t>Visakhapatnam</t>
  </si>
  <si>
    <t>info@nekkantiseafoods.com</t>
  </si>
  <si>
    <t>https://nekkantiseafoods.com</t>
  </si>
  <si>
    <t>Ocean Drive Layout, Sagar Nagar, Visakhapatnam - 530045</t>
  </si>
  <si>
    <t>Large shrimp exporter</t>
  </si>
  <si>
    <t>WestCoast Fine Foods Pvt Ltd</t>
  </si>
  <si>
    <t>info@westcoast.in</t>
  </si>
  <si>
    <t>https://westcoast.in</t>
  </si>
  <si>
    <t>Aroor Industrial Area, Aroor - 688534</t>
  </si>
  <si>
    <t>Liberty Frozen Foods Pvt Ltd</t>
  </si>
  <si>
    <t>info@libertygroup.in</t>
  </si>
  <si>
    <t>https://libertygroup.in</t>
  </si>
  <si>
    <t>Frozen fish &amp; squid</t>
  </si>
  <si>
    <t>Falcon Marine Exports Ltd</t>
  </si>
  <si>
    <t>Balasore</t>
  </si>
  <si>
    <t>info@falconmarine.in</t>
  </si>
  <si>
    <t>https://falconmarine.in</t>
  </si>
  <si>
    <t>Remuna, Balasore - 756019</t>
  </si>
  <si>
    <t>Shrimp exporter</t>
  </si>
  <si>
    <t>IFB Agro Industries Ltd (Marine Division)</t>
  </si>
  <si>
    <t>info@ifbagro.in</t>
  </si>
  <si>
    <t>https://ifbagro.in</t>
  </si>
  <si>
    <t>Sector-1, East Kolkata Area Development, Kolkata - 700107</t>
  </si>
  <si>
    <t>MPEDA registered</t>
  </si>
  <si>
    <t>Shrimp &amp; fish</t>
  </si>
  <si>
    <t>Amarsagar Seafoods Pvt Ltd</t>
  </si>
  <si>
    <t>Thoothukudi</t>
  </si>
  <si>
    <t>info@amarsagar.com</t>
  </si>
  <si>
    <t>New Harbour Area, Thoothukudi - 628004</t>
  </si>
  <si>
    <t>Sandhya Marines Ltd</t>
  </si>
  <si>
    <t>West Godavari</t>
  </si>
  <si>
    <t>info@sandhyamarines.com</t>
  </si>
  <si>
    <t>https://sandhyamarines.com</t>
  </si>
  <si>
    <t>Tanuku - 534211</t>
  </si>
  <si>
    <t>Devi Fisheries Ltd</t>
  </si>
  <si>
    <t>info@devifisheries.com</t>
  </si>
  <si>
    <t>https://devifisheries.com</t>
  </si>
  <si>
    <t>Auto Nagar, Visakhapatnam - 530012</t>
  </si>
  <si>
    <t>BMR Exports</t>
  </si>
  <si>
    <t>bmr@bMRgroup.in</t>
  </si>
  <si>
    <t>https://bmrgroup.in</t>
  </si>
  <si>
    <t>Bhimavaram - 534202</t>
  </si>
  <si>
    <t>EIC Health Cert Coordination</t>
  </si>
  <si>
    <t>Apex body for dairy &amp; egg exports</t>
  </si>
  <si>
    <t>2025-11-19T16:00:00Z</t>
  </si>
  <si>
    <t>National Dairy Development Board (NDDB)</t>
  </si>
  <si>
    <t>Government</t>
  </si>
  <si>
    <t>Anand</t>
  </si>
  <si>
    <t>md@nddb.coop</t>
  </si>
  <si>
    <t>https://nddb.coop</t>
  </si>
  <si>
    <t>Mother Dairy Campus, Anand - 388001</t>
  </si>
  <si>
    <t>Nodal agency for dairy development &amp; export promotion</t>
  </si>
  <si>
    <t>SKM Egg Products Export (India) Ltd</t>
  </si>
  <si>
    <t>Namakkal</t>
  </si>
  <si>
    <t>info@skmegg.com</t>
  </si>
  <si>
    <t>https://skmegg.com</t>
  </si>
  <si>
    <t>No. 133, 133/1, Erode Road, Chavadipalayam, Namakkal - 638006</t>
  </si>
  <si>
    <t>EU &amp; Halal approved</t>
  </si>
  <si>
    <t>RCMC-12345</t>
  </si>
  <si>
    <t>EU-185</t>
  </si>
  <si>
    <t>Largest egg powder exporter worldwide</t>
  </si>
  <si>
    <t>IB Group (ABIS Export India Pvt Ltd)</t>
  </si>
  <si>
    <t>Chhattisgarh</t>
  </si>
  <si>
    <t>Rajnandgaon</t>
  </si>
  <si>
    <t>info@ibgroup.co.in</t>
  </si>
  <si>
    <t>https://ibgroup.co.in</t>
  </si>
  <si>
    <t>ABIS House, Rajnandgaon - 491441</t>
  </si>
  <si>
    <t>EU &amp; USFDA approved</t>
  </si>
  <si>
    <t>RCMC-56789</t>
  </si>
  <si>
    <t>EU-312</t>
  </si>
  <si>
    <t>Top table egg &amp; egg powder exporter</t>
  </si>
  <si>
    <t>Venky's (VH Group) - Egg Division</t>
  </si>
  <si>
    <t>Venkateshwara House, Pune - 411030</t>
  </si>
  <si>
    <t>APEDA approved</t>
  </si>
  <si>
    <t>RCMC-11223</t>
  </si>
  <si>
    <t>SPF eggs &amp; egg products</t>
  </si>
  <si>
    <t>West Coast Fine Foods - Dairy Unit</t>
  </si>
  <si>
    <t>Aroor Industrial Area, Alappuzha - 688534</t>
  </si>
  <si>
    <t>EIC approved</t>
  </si>
  <si>
    <t>RCMC-44556</t>
  </si>
  <si>
    <t>EU-421</t>
  </si>
  <si>
    <t>Egg albumin &amp; whey products</t>
  </si>
  <si>
    <t>Amul (Gujarat Cooperative Milk Marketing Federation)</t>
  </si>
  <si>
    <t>gcmmf@amul.coop</t>
  </si>
  <si>
    <t>https://amul.com</t>
  </si>
  <si>
    <t>Anand - 388001</t>
  </si>
  <si>
    <t>APEDA registered</t>
  </si>
  <si>
    <t>RCMC-001</t>
  </si>
  <si>
    <t>EIC approved plants</t>
  </si>
  <si>
    <t>Milk powder, butter, cheese exporter</t>
  </si>
  <si>
    <t>Hatsun Agro Product Ltd</t>
  </si>
  <si>
    <t>info@hatsun.com</t>
  </si>
  <si>
    <t>https://hatsun.com</t>
  </si>
  <si>
    <t>No. 1/20A, Rajiv Gandhi Salai (OMR), Karapakkam, Chennai - 600097</t>
  </si>
  <si>
    <t>RCMC-33445</t>
  </si>
  <si>
    <t>Milk powder &amp; dairy ingredients</t>
  </si>
  <si>
    <t>Sterling Agro Industries (Nova Dairy)</t>
  </si>
  <si>
    <t>Delhi</t>
  </si>
  <si>
    <t>info@novadairy.com</t>
  </si>
  <si>
    <t>https://novadairy.com</t>
  </si>
  <si>
    <t>New Delhi (plant in Haryana)</t>
  </si>
  <si>
    <t>RCMC-77889</t>
  </si>
  <si>
    <t>EU-567</t>
  </si>
  <si>
    <t>Milk powder &amp; whey protein concentrate</t>
  </si>
  <si>
    <t>Parag Milk Foods Ltd (Gowardhan)</t>
  </si>
  <si>
    <t>info@paragmilkfoods.com</t>
  </si>
  <si>
    <t>https://paragmilkfoods.com</t>
  </si>
  <si>
    <t>Manchar, Pune - 410501</t>
  </si>
  <si>
    <t>RCMC-22334</t>
  </si>
  <si>
    <t>Ghee, cheese &amp; UHT milk exporter</t>
  </si>
  <si>
    <t>Karnataka Cooperative Milk Producers Federation (Nandini)</t>
  </si>
  <si>
    <t>Karnataka</t>
  </si>
  <si>
    <t>Bengaluru</t>
  </si>
  <si>
    <t>kamf@karnimilkfed.com</t>
  </si>
  <si>
    <t>https://karnimilkfed.coop</t>
  </si>
  <si>
    <t>Dr. M.H. Marigowda Road, Bengaluru - 560029</t>
  </si>
  <si>
    <t>Milk powder &amp; ghee exports</t>
  </si>
  <si>
    <t>Phondaghat Honey (Keystone Foundation)</t>
  </si>
  <si>
    <t>Processor</t>
  </si>
  <si>
    <t>Goa</t>
  </si>
  <si>
    <t>North Goa</t>
  </si>
  <si>
    <t>Manager</t>
  </si>
  <si>
    <t>info@keystone-foundation.org</t>
  </si>
  <si>
    <t>https://keystone-foundation.org</t>
  </si>
  <si>
    <t>Phondaghat, Goa</t>
  </si>
  <si>
    <t>Natural honey GI tagged</t>
  </si>
  <si>
    <t>Wild honey exporter</t>
  </si>
  <si>
    <t>Under The Mango Tree - Natural Honey</t>
  </si>
  <si>
    <t>Exporter</t>
  </si>
  <si>
    <t>info@utmt.in</t>
  </si>
  <si>
    <t>https://utmt.in</t>
  </si>
  <si>
    <t>New Delhi (sourcing from multiple states)</t>
  </si>
  <si>
    <t>Organic certified honey exporter</t>
  </si>
  <si>
    <t>ICAR-National Dairy Research Institute (NDRI)</t>
  </si>
  <si>
    <t>Haryana</t>
  </si>
  <si>
    <t>Karnal</t>
  </si>
  <si>
    <t>director.ndri@icar.gov.in</t>
  </si>
  <si>
    <t>https://ndri.res.in</t>
  </si>
  <si>
    <t>NDRI Campus, Karnal - 132001</t>
  </si>
  <si>
    <t>Training in dairy processing &amp; export quality</t>
  </si>
  <si>
    <t>Leading govt dairy skill centre</t>
  </si>
  <si>
    <t>EIC Referral Laboratory Kochi</t>
  </si>
  <si>
    <t>Laboratory</t>
  </si>
  <si>
    <t>referrallab-kochi@eicindia.gov.in</t>
  </si>
  <si>
    <t>Antibiotic &amp; residue testing for dairy exports</t>
  </si>
  <si>
    <t>Mandatory for EU dairy shipments</t>
  </si>
  <si>
    <t>RCMC &amp; Phytosanitary Authority</t>
  </si>
  <si>
    <t>EIC Health Cert for gelatin/casings</t>
  </si>
  <si>
    <t>Nodal authority for Chapter 05 exports</t>
  </si>
  <si>
    <t>2025-11-19T17:00:00Z</t>
  </si>
  <si>
    <t>ND YMCA Building, Jai Singh Road, New Delhi - 110001</t>
  </si>
  <si>
    <t>Health certificate for gelatin &amp; casings</t>
  </si>
  <si>
    <t>Mandatory for EU/US shipments</t>
  </si>
  <si>
    <t>Nitta Gelatin India Limited</t>
  </si>
  <si>
    <t>mail@nitta-gelatin.co.in</t>
  </si>
  <si>
    <t>https://gelatin.in</t>
  </si>
  <si>
    <t>Post Box 4262, Panampilly Nagar, Kochi - 682036</t>
  </si>
  <si>
    <t>RCMC-10023</t>
  </si>
  <si>
    <t>EU-89</t>
  </si>
  <si>
    <t>Largest gelatin &amp; ossein exporter (pharma/food grade)</t>
  </si>
  <si>
    <t>Sterling Biotech Ltd (Gelatin Division)</t>
  </si>
  <si>
    <t>Vadodara</t>
  </si>
  <si>
    <t>info@sterlingbiotech.in</t>
  </si>
  <si>
    <t>Village Karakhadi, Vadodara</t>
  </si>
  <si>
    <t>RCMC-11234</t>
  </si>
  <si>
    <t>EU-156</t>
  </si>
  <si>
    <t>Gelatin &amp; di-calcium phosphate exporter</t>
  </si>
  <si>
    <t>India Gelatine &amp; Chemicals Ltd</t>
  </si>
  <si>
    <t>Ahmedabad</t>
  </si>
  <si>
    <t>info@indiagelatine.com</t>
  </si>
  <si>
    <t>https://indiagelatine.com</t>
  </si>
  <si>
    <t>77-80, GIDC Estate, Vapi - 396195</t>
  </si>
  <si>
    <t>RCMC-22345</t>
  </si>
  <si>
    <t>Edible &amp; pharmaceutical gelatin</t>
  </si>
  <si>
    <t>Gelita India Pvt Ltd (German JV)</t>
  </si>
  <si>
    <t>General Manager</t>
  </si>
  <si>
    <t>info.india@gelita.com</t>
  </si>
  <si>
    <t>https://gelita.com</t>
  </si>
  <si>
    <t>Changodar, Ahmedabad</t>
  </si>
  <si>
    <t>RCMC-33456</t>
  </si>
  <si>
    <t>EU-278</t>
  </si>
  <si>
    <t>High-quality gelatin for food/pharma</t>
  </si>
  <si>
    <t>Narmada Gelatines Ltd (formerly Crompton)</t>
  </si>
  <si>
    <t>Madhya Pradesh</t>
  </si>
  <si>
    <t>Jabalpur</t>
  </si>
  <si>
    <t>info@narmadagelatines.com</t>
  </si>
  <si>
    <t>https://narmadagelatines.com</t>
  </si>
  <si>
    <t>Room No. 211, C-1, Moti Lal Nehru Nagar, Jabalpur - 482002</t>
  </si>
  <si>
    <t>RCMC-44567</t>
  </si>
  <si>
    <t>Ossein &amp; gelatin exporter</t>
  </si>
  <si>
    <t>Al Shafa Natural Casings Pvt Ltd</t>
  </si>
  <si>
    <t>info@alshafa.in</t>
  </si>
  <si>
    <t>https://alshafa.in</t>
  </si>
  <si>
    <t>Khasra No. 101, Meerut - 250002</t>
  </si>
  <si>
    <t>RCMC-55678</t>
  </si>
  <si>
    <t>EU-412</t>
  </si>
  <si>
    <t>Natural sheep casings exporter (Halal)</t>
  </si>
  <si>
    <t>Al-Tayyeb Frozen Food Export Pvt Ltd</t>
  </si>
  <si>
    <t>info@altayyeb.in</t>
  </si>
  <si>
    <t>Aligarh - 202001</t>
  </si>
  <si>
    <t>RCMC-66789</t>
  </si>
  <si>
    <t>EU-523</t>
  </si>
  <si>
    <t>Natural casings &amp; gelatin products</t>
  </si>
  <si>
    <t>Baikunthapur Swine Bristle Producer Company Ltd</t>
  </si>
  <si>
    <t>FPO</t>
  </si>
  <si>
    <t>North 24 Parganas</t>
  </si>
  <si>
    <t>Baikunthapur, North 24 Parganas</t>
  </si>
  <si>
    <t>Swine bristle cleaning &amp; export unit</t>
  </si>
  <si>
    <t>Supported by state animal husbandry dept</t>
  </si>
  <si>
    <t>ICAR-National Research Centre on Pig</t>
  </si>
  <si>
    <t>Assam</t>
  </si>
  <si>
    <t>Kamrup</t>
  </si>
  <si>
    <t>director.nrcp@icar.gov.in</t>
  </si>
  <si>
    <t>https://nrcp.icar.gov.in</t>
  </si>
  <si>
    <t>Rani, Guwahati - 781131</t>
  </si>
  <si>
    <t>Training on pig hair/bristles processing</t>
  </si>
  <si>
    <t>Govt skill centre for piggery products</t>
  </si>
  <si>
    <t>Testing gelatin &amp; casings for export</t>
  </si>
  <si>
    <t>Mandatory lab for Chapter 05</t>
  </si>
  <si>
    <t>3rd Floor, NCUI Building, August Kranti Marg, New Delhi - 110016</t>
  </si>
  <si>
    <t>Nodal body for Chapter 06 exports</t>
  </si>
  <si>
    <t>2025-11-19T18:00:00Z</t>
  </si>
  <si>
    <t>Directorate of Plant Protection Quarantine &amp; Storage (DPPQS)</t>
  </si>
  <si>
    <t>Faridabad</t>
  </si>
  <si>
    <t>Plant Protection Adviser</t>
  </si>
  <si>
    <t>ppa@nic.in</t>
  </si>
  <si>
    <t>https://ppqs.gov.in</t>
  </si>
  <si>
    <t>NH-IV, Faridabad - 121001</t>
  </si>
  <si>
    <t>Issues Phytosanitary Certificates</t>
  </si>
  <si>
    <t>Mandatory for all live plant exports</t>
  </si>
  <si>
    <t>Karuturi Global Exports Ltd (Rosewood)</t>
  </si>
  <si>
    <t>Bengaluru Rural</t>
  </si>
  <si>
    <t>info@karuturi.com</t>
  </si>
  <si>
    <t>https://karuturi.com</t>
  </si>
  <si>
    <t>Doddaballapur Industrial Area, Bengaluru Rural - 561203</t>
  </si>
  <si>
    <t>APEDA packhouse</t>
  </si>
  <si>
    <t>RCMC-10012</t>
  </si>
  <si>
    <t>India's largest cut rose exporter (to EU/Japan)</t>
  </si>
  <si>
    <t>Hosur Flower Growers Group (Suvarna Floritech, Pagoda, etc.)</t>
  </si>
  <si>
    <t>Cluster</t>
  </si>
  <si>
    <t>Krishnagiri</t>
  </si>
  <si>
    <t>Cluster Coordinator</t>
  </si>
  <si>
    <t>info@suvarnafloritech.com</t>
  </si>
  <si>
    <t>Hosur-Denkanikottai Road, Hosur - 635109</t>
  </si>
  <si>
    <t>APEDA registered cluster</t>
  </si>
  <si>
    <t>multiple</t>
  </si>
  <si>
    <t>Major gerbera &amp; carnation cluster</t>
  </si>
  <si>
    <t>FloraTech India Pvt Ltd</t>
  </si>
  <si>
    <t>info@floratechindia.com</t>
  </si>
  <si>
    <t>Talegaon Floriculture Park, Pune - 410507</t>
  </si>
  <si>
    <t>EU-compliant packhouse</t>
  </si>
  <si>
    <t>Cut flowers &amp; foliage to Europe</t>
  </si>
  <si>
    <t>Green Valley Flowers</t>
  </si>
  <si>
    <t>Doddaballapur</t>
  </si>
  <si>
    <t>Roses &amp; gerbera exporter</t>
  </si>
  <si>
    <t>Srinidhi Tissue Culture (Srinidhi Biotech)</t>
  </si>
  <si>
    <t>info@srinidhibiotech.com</t>
  </si>
  <si>
    <t>Dobaspet Industrial Area, Bengaluru - 562111</t>
  </si>
  <si>
    <t>APEDA recognised nursery</t>
  </si>
  <si>
    <t>TC-101</t>
  </si>
  <si>
    <t>Largest tissue culture plants exporter (banana, gerbera)</t>
  </si>
  <si>
    <t>Indo-American Hybrid Seeds (IAHS) - Floriculture Division</t>
  </si>
  <si>
    <t>Head Floriculture</t>
  </si>
  <si>
    <t>info@iahseeds.com</t>
  </si>
  <si>
    <t>https://indamseeds.com</t>
  </si>
  <si>
    <t>Yelahanka New Town, Bengaluru - 560064</t>
  </si>
  <si>
    <t>APEDA recognised</t>
  </si>
  <si>
    <t>TC-205</t>
  </si>
  <si>
    <t>Tissue culture &amp; cut flower planting material</t>
  </si>
  <si>
    <t>Labland Biotech Pvt Ltd</t>
  </si>
  <si>
    <t>Mysuru</t>
  </si>
  <si>
    <t>labland@lablandbiotech.com</t>
  </si>
  <si>
    <t>https://lablandbiotech.com</t>
  </si>
  <si>
    <t>Kuvempunagar, Mysuru - 570023</t>
  </si>
  <si>
    <t>TC-312</t>
  </si>
  <si>
    <t>Banana &amp; ornamental TC plants exporter</t>
  </si>
  <si>
    <t>National Research Centre for Orchids (ICAR-NRCO)</t>
  </si>
  <si>
    <t>Sikkim</t>
  </si>
  <si>
    <t>Pakyong</t>
  </si>
  <si>
    <t>director.nrco@icar.gov.in</t>
  </si>
  <si>
    <t>https://nrcorchids.icar.gov.in</t>
  </si>
  <si>
    <t>Pakyong - 737106</t>
  </si>
  <si>
    <t>Training in orchid export production</t>
  </si>
  <si>
    <t>ICAR-Indian Institute of Horticultural Research (IIHR)</t>
  </si>
  <si>
    <t>director.iihr@icar.gov.in</t>
  </si>
  <si>
    <t>https://iihr.icar.gov.in</t>
  </si>
  <si>
    <t>Hessaraghatta Lake Post, Bengaluru - 560089</t>
  </si>
  <si>
    <t>Training in floriculture &amp; TC plants</t>
  </si>
  <si>
    <t>Tamil Nadu State Floriculture Association</t>
  </si>
  <si>
    <t>President</t>
  </si>
  <si>
    <t>Hosur &amp; Ooty members</t>
  </si>
  <si>
    <t>Links growers to exporters</t>
  </si>
  <si>
    <t>3rd Floor, NCUI Bldg, August Kranti Marg, New Delhi - 110016</t>
  </si>
  <si>
    <t>RCMC &amp; GrapeNet/OnionNet Authority</t>
  </si>
  <si>
    <t>Nodal authority for Chapter 07</t>
  </si>
  <si>
    <t>2025-11-19T20:00:00Z</t>
  </si>
  <si>
    <t>APEDA Regional Office Nashik</t>
  </si>
  <si>
    <t>Nashik</t>
  </si>
  <si>
    <t>apeda-nashik@apeda.gov.in</t>
  </si>
  <si>
    <t>1st Floor, Krishi Bhawan, Golf Club Road, Nashik - 422002</t>
  </si>
  <si>
    <t>Onion &amp; Grape exports Maharashtra</t>
  </si>
  <si>
    <t>Pioneer House, Somajiguda, Hyderabad - 500082</t>
  </si>
  <si>
    <t>Vegetable exports South India</t>
  </si>
  <si>
    <t>National Horticulture Board (NHB) Gurgaon</t>
  </si>
  <si>
    <t>Gurgaon</t>
  </si>
  <si>
    <t>md@nhb.gov.in</t>
  </si>
  <si>
    <t>https://nhb.gov.in</t>
  </si>
  <si>
    <t>Plot 85, Sector 18, Gurgaon - 122015</t>
  </si>
  <si>
    <t>Cold chain &amp; packhouse subsidies</t>
  </si>
  <si>
    <t>Phytosanitary certificates</t>
  </si>
  <si>
    <t>Jain Irrigation Systems Ltd (Food Division)</t>
  </si>
  <si>
    <t>Jalgaon</t>
  </si>
  <si>
    <t>foods@jains.com</t>
  </si>
  <si>
    <t>https://jains.com</t>
  </si>
  <si>
    <t>Jain Plastic Park, NH-6, Jalgaon - 425001</t>
  </si>
  <si>
    <t>RCMC-00123</t>
  </si>
  <si>
    <t>Dehydrated onion &amp; vegetable exporter</t>
  </si>
  <si>
    <t>NHRDF (National Horticultural Research &amp; Development Foundation)</t>
  </si>
  <si>
    <t>director@nhrdf.org</t>
  </si>
  <si>
    <t>https://nhrdf.org</t>
  </si>
  <si>
    <t>Chitegaon Phata, Nashik-Aurangabad Road, Nashik - 422003</t>
  </si>
  <si>
    <t>Onion &amp; garlic seed/export promotion</t>
  </si>
  <si>
    <t>Maharashtra State Agricultural Marketing Board (Onion Section)</t>
  </si>
  <si>
    <t>State Nodal Agency</t>
  </si>
  <si>
    <t>https://msamb.org.in</t>
  </si>
  <si>
    <t>Lasalgaon APMC &amp; other onion markets</t>
  </si>
  <si>
    <t>Maharashtra onion export facilitation</t>
  </si>
  <si>
    <t>Global Green Company (Avion Global)</t>
  </si>
  <si>
    <t>info@globalgreenco.com</t>
  </si>
  <si>
    <t>Channapatna</t>
  </si>
  <si>
    <t>Gherkins &amp; baby corn exporter</t>
  </si>
  <si>
    <t>Reitzel India Pvt Ltd</t>
  </si>
  <si>
    <t>india@reitzelgroup.com</t>
  </si>
  <si>
    <t>https://reitzelgroup.com</t>
  </si>
  <si>
    <t>Largest gherkins exporter</t>
  </si>
  <si>
    <t>Green India Exports Pvt Ltd</t>
  </si>
  <si>
    <t>Salem</t>
  </si>
  <si>
    <t>Fresh vegetables &amp; onion</t>
  </si>
  <si>
    <t>Allanasons Pvt Ltd (Vegetable Division)</t>
  </si>
  <si>
    <t>Mumbai</t>
  </si>
  <si>
    <t>Export Manager</t>
  </si>
  <si>
    <t>onion@allanasons.com</t>
  </si>
  <si>
    <t>Allana House, Colaba, Mumbai - 400001</t>
  </si>
  <si>
    <t>Large onion exporter</t>
  </si>
  <si>
    <t>INDOFRESH (Kapoor Exports)</t>
  </si>
  <si>
    <t>Red &amp; white onion exporter</t>
  </si>
  <si>
    <t>Olive International</t>
  </si>
  <si>
    <t>olive@oliveintl.com</t>
  </si>
  <si>
    <t>Pimpalgaon Baswant</t>
  </si>
  <si>
    <t>Onion &amp; pomegranate</t>
  </si>
  <si>
    <t>Nashik Onion Traders Association</t>
  </si>
  <si>
    <t>Lasalgaon APMC</t>
  </si>
  <si>
    <t>Major onion cluster body</t>
  </si>
  <si>
    <t>Lasalgaon APMC Onion Market</t>
  </si>
  <si>
    <t>Secretary</t>
  </si>
  <si>
    <t>Lasalgaon - 422306</t>
  </si>
  <si>
    <t>World’s largest onion market</t>
  </si>
  <si>
    <t>Bhumi Agro FPO (Onion)</t>
  </si>
  <si>
    <t>Manmad block</t>
  </si>
  <si>
    <t>FPO exporting onion</t>
  </si>
  <si>
    <t>Nimad Potato Onion Growers FPO</t>
  </si>
  <si>
    <t>Khargone</t>
  </si>
  <si>
    <t>Barwaha</t>
  </si>
  <si>
    <t>Potato &amp; onion FPO</t>
  </si>
  <si>
    <t>Manjri Stud Farm Pvt Ltd (Green Peas)</t>
  </si>
  <si>
    <t>Manjri, Pune</t>
  </si>
  <si>
    <t>Green peas &amp; baby corn to EU</t>
  </si>
  <si>
    <t>Al-Hamd Agro Food Products</t>
  </si>
  <si>
    <t>Pimpalgaon</t>
  </si>
  <si>
    <t>Dehydrated onion flakes</t>
  </si>
  <si>
    <t>ICAR-Indian Institute of Vegetable Research (IIVR)</t>
  </si>
  <si>
    <t>Varanasi</t>
  </si>
  <si>
    <t>director.iivr@icar.gov.in</t>
  </si>
  <si>
    <t>https://iivr.icar.gov.in</t>
  </si>
  <si>
    <t>P.B. No. 01, P.O. Jakhini, Varanasi - 221305</t>
  </si>
  <si>
    <t>Training on vegetable export varieties</t>
  </si>
  <si>
    <t>ICAR-Directorate of Onion &amp; Garlic Research</t>
  </si>
  <si>
    <t>dogr@icar.gov.in</t>
  </si>
  <si>
    <t>https://dogr.icar.gov.in</t>
  </si>
  <si>
    <t>Rajgurunagar, Pune - 410505</t>
  </si>
  <si>
    <t>Onion &amp; garlic export technology</t>
  </si>
  <si>
    <t>RCMC &amp; GrapeNet/AnarNet/MangoNet Authority</t>
  </si>
  <si>
    <t>Apex body for Chapter 08 exports</t>
  </si>
  <si>
    <t>2025-11-19T21:00:00Z</t>
  </si>
  <si>
    <t>Krishi Bhawan, Golf Club Road, Nashik - 422002</t>
  </si>
  <si>
    <t>Grape &amp; Pomegranate exports Maharashtra</t>
  </si>
  <si>
    <t>APEDA Regional Office Vijayawada</t>
  </si>
  <si>
    <t>apeda-vijayawada@apeda.gov.in</t>
  </si>
  <si>
    <t>Near NTR Circle, Vijayawada - 520010</t>
  </si>
  <si>
    <t>Mango &amp; Banana exports AP</t>
  </si>
  <si>
    <t>APEDA Regional Office Bengaluru</t>
  </si>
  <si>
    <t>Bengaluru Urban</t>
  </si>
  <si>
    <t>apeda-blr@apeda.gov.in</t>
  </si>
  <si>
    <t>Brigade Towers, Ashok Nagar, Bengaluru - 560025</t>
  </si>
  <si>
    <t>Banana &amp; exotic fruits exports</t>
  </si>
  <si>
    <t>National Horticulture Board (NHB)</t>
  </si>
  <si>
    <t>Gurugram</t>
  </si>
  <si>
    <t>Plot 85, Sector 18, Gurugram - 122015</t>
  </si>
  <si>
    <t>Cold chain &amp; packhouse subsidies for fruits</t>
  </si>
  <si>
    <t>Phytosanitary certificates for fruits</t>
  </si>
  <si>
    <t>Sahyadri Farms (Nashik)</t>
  </si>
  <si>
    <t>info@sahyadrifarms.com</t>
  </si>
  <si>
    <t>https://sahyadrifarms.com</t>
  </si>
  <si>
    <t>Gat No. 314/2/2, A/p Mohadi, Dindori, Nashik - 422207</t>
  </si>
  <si>
    <t>RCMC-10045</t>
  </si>
  <si>
    <t>Largest grape exporter in Asia</t>
  </si>
  <si>
    <t>Freshtrop Fruits Ltd</t>
  </si>
  <si>
    <t>info@freshtrop.com</t>
  </si>
  <si>
    <t>https://freshtrop.com</t>
  </si>
  <si>
    <t>A-603, Shapath IV, S.G. Road, Ahmedabad (plant Nashik)</t>
  </si>
  <si>
    <t>Top grape &amp; pomegranate exporter</t>
  </si>
  <si>
    <t>Kalya Exports</t>
  </si>
  <si>
    <t>info@kalyaexports.com</t>
  </si>
  <si>
    <t>https://kalyaexports.com</t>
  </si>
  <si>
    <t>Gat No. 458/1, Pimpalgaon Baswant, Nashik - 422009</t>
  </si>
  <si>
    <t>RCMC-22356</t>
  </si>
  <si>
    <t>Grapes &amp; pomegranate specialist</t>
  </si>
  <si>
    <t>InI Farms (Kimaye)</t>
  </si>
  <si>
    <t>info@inifarms.com</t>
  </si>
  <si>
    <t>https://inifarms.com</t>
  </si>
  <si>
    <t>Corporate office Mumbai; farms Nashik/Solapur</t>
  </si>
  <si>
    <t>RCMC-33467</t>
  </si>
  <si>
    <t>Premium pomegranate &amp; grape brand</t>
  </si>
  <si>
    <t>Elvina Fresh Fruits Pvt Ltd</t>
  </si>
  <si>
    <t>Solapur</t>
  </si>
  <si>
    <t>info@elvinafruits.com</t>
  </si>
  <si>
    <t>Gat No. 671, Vakhari, Pandharpur, Solapur - 413304</t>
  </si>
  <si>
    <t>RCMC-44578</t>
  </si>
  <si>
    <t>Major pomegranate exporter</t>
  </si>
  <si>
    <t>Jain Farm Fresh Foods Ltd (Fruit Division)</t>
  </si>
  <si>
    <t>info@jainfarmfresh.com</t>
  </si>
  <si>
    <t>https://jainfarmfresh.com</t>
  </si>
  <si>
    <t>Jain Hills, Jalgaon - 425001</t>
  </si>
  <si>
    <t>RCMC-55689</t>
  </si>
  <si>
    <t>Mango pulp &amp; fresh mango exporter</t>
  </si>
  <si>
    <t>Devgad Taluka Mango Growers Co-op Society</t>
  </si>
  <si>
    <t>Co-op</t>
  </si>
  <si>
    <t>Sindhudurg</t>
  </si>
  <si>
    <t>Devgad</t>
  </si>
  <si>
    <t>Alphonso mango GI tag holder</t>
  </si>
  <si>
    <t>Konkan Alphonso Mango Producers Co-op</t>
  </si>
  <si>
    <t>Ratnagiri</t>
  </si>
  <si>
    <t>Hapus mango export cluster</t>
  </si>
  <si>
    <t>Geewin Exim (GK Fresh Banana)</t>
  </si>
  <si>
    <t>Madurai</t>
  </si>
  <si>
    <t>info@geewinexim.com</t>
  </si>
  <si>
    <t>https://geewinexim.com</t>
  </si>
  <si>
    <t>Near Vaigai Dam, Theni region</t>
  </si>
  <si>
    <t>RCMC-66790</t>
  </si>
  <si>
    <t>Grand Naine banana exporter</t>
  </si>
  <si>
    <t>SRG Fruits (Theni Banana)</t>
  </si>
  <si>
    <t>Theni</t>
  </si>
  <si>
    <t>Theni - 625531</t>
  </si>
  <si>
    <t>RCMC-77890</t>
  </si>
  <si>
    <t>Theni banana cluster exporter</t>
  </si>
  <si>
    <t>Pisum Foods</t>
  </si>
  <si>
    <t>info@pisumfoods.com</t>
  </si>
  <si>
    <t>https://pisumfoods.com</t>
  </si>
  <si>
    <t>Corporate office Ahmedabad; sourcing multiple states</t>
  </si>
  <si>
    <t>Multiple fruits including banana/mango</t>
  </si>
  <si>
    <t>IG International Pvt Ltd</t>
  </si>
  <si>
    <t>info@iginternational.net</t>
  </si>
  <si>
    <t>https://iginternational.net</t>
  </si>
  <si>
    <t>Turbhe, Navi Mumbai</t>
  </si>
  <si>
    <t>Imported &amp; Indian fruits exporter</t>
  </si>
  <si>
    <t>Nashik Grape Exporters Association</t>
  </si>
  <si>
    <t>Grape cluster body</t>
  </si>
  <si>
    <t>Solapur Pomegranate Cluster</t>
  </si>
  <si>
    <t>Coordinator</t>
  </si>
  <si>
    <t>Major AnarNet cluster</t>
  </si>
  <si>
    <t>ICAR-National Research Centre on Grapes</t>
  </si>
  <si>
    <t>director.nrcg@icar.gov.in</t>
  </si>
  <si>
    <t>https://nrcgrapes.icar.gov.in</t>
  </si>
  <si>
    <t>P.B. No.3, Manjri Farm, Solapur Road, Pune - 412307</t>
  </si>
  <si>
    <t>Export variety &amp; residue training</t>
  </si>
  <si>
    <t>ICAR-National Research Centre on Pomegranate</t>
  </si>
  <si>
    <t>director.nrcpomegranate@icar.gov.in</t>
  </si>
  <si>
    <t>https://nrcpomegranate.icar.gov.in</t>
  </si>
  <si>
    <t>NH-65, Solapur-Pune Highway, Kegaon, Solapur - 413255</t>
  </si>
  <si>
    <t>Pomegranate export technology</t>
  </si>
  <si>
    <t>RCMC &amp; SpiceNet Authority</t>
  </si>
  <si>
    <t>Nodal body for spice exports</t>
  </si>
  <si>
    <t>2025-11-19T22:00:00Z</t>
  </si>
  <si>
    <t>Spices Board India - Headquarters</t>
  </si>
  <si>
    <t>Chairman/Secretary</t>
  </si>
  <si>
    <t>mail@indianspices.com</t>
  </si>
  <si>
    <t>https://indianspices.com</t>
  </si>
  <si>
    <t>Sugandha Bhavan, NH By-pass, Palarivattom, Kochi - 682025</t>
  </si>
  <si>
    <t>ETO &amp; Quality Certification Authority</t>
  </si>
  <si>
    <t>Apex body for spice export promotion &amp; quality</t>
  </si>
  <si>
    <t>Spices Board Regional Office Mumbai</t>
  </si>
  <si>
    <t>Deputy Director</t>
  </si>
  <si>
    <t>sbro.mumbai@nic.in</t>
  </si>
  <si>
    <t>World Trade Centre, Cuffe Parade, Mumbai - 400005</t>
  </si>
  <si>
    <t>Spices Board Regional Office Guntur</t>
  </si>
  <si>
    <t>Guntur</t>
  </si>
  <si>
    <t>sbro.guntur@nic.in</t>
  </si>
  <si>
    <t>Chilli &amp; Turmeric exports</t>
  </si>
  <si>
    <t>Spices Board Regional Office Kochi</t>
  </si>
  <si>
    <t>Director (Marketing)</t>
  </si>
  <si>
    <t>sbro.kochi@nic.in</t>
  </si>
  <si>
    <t>Kochi</t>
  </si>
  <si>
    <t>Cardamom &amp; Pepper exports</t>
  </si>
  <si>
    <t>Synthite Industries Pvt Ltd</t>
  </si>
  <si>
    <t>info@synthite.com</t>
  </si>
  <si>
    <t>https://synthite.com</t>
  </si>
  <si>
    <t>Synthite Valley, Kolenchery, Kochi - 682311</t>
  </si>
  <si>
    <t>Oleoresins, Essential Oils, ETO-treated</t>
  </si>
  <si>
    <t>RCMC-1001</t>
  </si>
  <si>
    <t>World’s largest spice oleoresin exporter</t>
  </si>
  <si>
    <t>AVT Natural Foods Pvt Ltd (Mane Kancor)</t>
  </si>
  <si>
    <t>info@manekancor.com</t>
  </si>
  <si>
    <t>https://manekancor.com</t>
  </si>
  <si>
    <t>Angamaly, Kochi</t>
  </si>
  <si>
    <t>Spice extracts &amp; oleoresins</t>
  </si>
  <si>
    <t>Top-3 global player</t>
  </si>
  <si>
    <t>Plant Lipids Pvt Ltd</t>
  </si>
  <si>
    <t>info@plantlipids.com</t>
  </si>
  <si>
    <t>https://plantlipids.com</t>
  </si>
  <si>
    <t>Kadayiruppu, Kolenchery, Kochi</t>
  </si>
  <si>
    <t>Spice oleoresins &amp; essential oils</t>
  </si>
  <si>
    <t>Eastern Condiments Pvt Ltd</t>
  </si>
  <si>
    <t>info@eastern.in</t>
  </si>
  <si>
    <t>https://eastern.in</t>
  </si>
  <si>
    <t>Adimaly, Idukki</t>
  </si>
  <si>
    <t>Retail &amp; bulk spices, ETO-treated</t>
  </si>
  <si>
    <t>Largest retail spice brand exporter</t>
  </si>
  <si>
    <t>Bhavani Spices (VKC Group)</t>
  </si>
  <si>
    <t>Erode</t>
  </si>
  <si>
    <t>info@vkcgroup.com</t>
  </si>
  <si>
    <t>https://vkcgroup.com</t>
  </si>
  <si>
    <t>Turmeric &amp; chilli powder</t>
  </si>
  <si>
    <t>Jabs International Pvt Ltd</t>
  </si>
  <si>
    <t>info@jabsons.com</t>
  </si>
  <si>
    <t>https://jabsinternational.com</t>
  </si>
  <si>
    <t>Navi Mumbai</t>
  </si>
  <si>
    <t>Seeds &amp; whole spices</t>
  </si>
  <si>
    <t>Allana Group (Spice Division)</t>
  </si>
  <si>
    <t>spices@allanasons.com</t>
  </si>
  <si>
    <t>Allana House, Colaba, Mumbai</t>
  </si>
  <si>
    <t>Whole &amp; ground spices</t>
  </si>
  <si>
    <t>Akay Natural Ingredients</t>
  </si>
  <si>
    <t>info@akay-group.com</t>
  </si>
  <si>
    <t>https://akay-group.com</t>
  </si>
  <si>
    <t>Cochin</t>
  </si>
  <si>
    <t>Spice extracts &amp; colours</t>
  </si>
  <si>
    <t>Guntur Chilli Market Yard</t>
  </si>
  <si>
    <t>World’s largest chilli market</t>
  </si>
  <si>
    <t>Idukki Cardamom Cluster</t>
  </si>
  <si>
    <t>Idukki</t>
  </si>
  <si>
    <t>Large &amp; small cardamom</t>
  </si>
  <si>
    <t>Wayanad Pepper Cluster</t>
  </si>
  <si>
    <t>Wayanad</t>
  </si>
  <si>
    <t>Black pepper export cluster</t>
  </si>
  <si>
    <t>Indian Institute of Spices Research (IISR)</t>
  </si>
  <si>
    <t>Kozhikode</t>
  </si>
  <si>
    <t>director.spices@icar.gov.in</t>
  </si>
  <si>
    <t>https://spices.res.in</t>
  </si>
  <si>
    <t>Kozhikode - 673012</t>
  </si>
  <si>
    <t>Training on spice varieties &amp; export quality</t>
  </si>
  <si>
    <t>RCMC &amp; RiceNet/BasmatiNet Authority</t>
  </si>
  <si>
    <t>Nodal body for rice &amp; cereal exports</t>
  </si>
  <si>
    <t>2025-11-20T09:00:00Z</t>
  </si>
  <si>
    <t>Bank of Baroda Bldg, Fort, Mumbai - 400001</t>
  </si>
  <si>
    <t>All India Rice Exporters Association (AIRIA)</t>
  </si>
  <si>
    <t>info@airia.in</t>
  </si>
  <si>
    <t>https://airia.in</t>
  </si>
  <si>
    <t>RCMC issuing for rice</t>
  </si>
  <si>
    <t>Apex body for rice exporters</t>
  </si>
  <si>
    <t>KRBL Ltd (India Gate Basmati)</t>
  </si>
  <si>
    <t>info@krblrice.com</t>
  </si>
  <si>
    <t>https://krblrice.com</t>
  </si>
  <si>
    <t>Gurugram (mill in Tarori, Karnal)</t>
  </si>
  <si>
    <t>Basmati packhouse</t>
  </si>
  <si>
    <t>RCMC-00101</t>
  </si>
  <si>
    <t>World’s largest Basmati exporter</t>
  </si>
  <si>
    <t>LT Foods Ltd (Daawat / Heritage)</t>
  </si>
  <si>
    <t>info@ltgroup.in</t>
  </si>
  <si>
    <t>https://ltfoods.in</t>
  </si>
  <si>
    <t>Gurugram (plants in Haryana, Punjab, MP)</t>
  </si>
  <si>
    <t>Basmati &amp; non-basmati</t>
  </si>
  <si>
    <t>RCMC-00234</t>
  </si>
  <si>
    <t>Second largest Basmati exporter</t>
  </si>
  <si>
    <t>Kohinoor Foods Ltd</t>
  </si>
  <si>
    <t>info@kohinoorfoods.in</t>
  </si>
  <si>
    <t>https://kohinoorfoods.in</t>
  </si>
  <si>
    <t>Faridabad &amp; Amritsar plants</t>
  </si>
  <si>
    <t>Basmati specialist</t>
  </si>
  <si>
    <t>RCMC-00345</t>
  </si>
  <si>
    <t>Amir Chand Jagdish Kumar (ACJ) – India Gate competitor</t>
  </si>
  <si>
    <t>info@acjl.in</t>
  </si>
  <si>
    <t>https://acjl.in</t>
  </si>
  <si>
    <t>Delhi &amp; Haryana plants</t>
  </si>
  <si>
    <t>Basmati rice</t>
  </si>
  <si>
    <t>RCMC-00456</t>
  </si>
  <si>
    <t>Top-5 Basmati exporter</t>
  </si>
  <si>
    <t>REI Agro Ltd / GRM Rice</t>
  </si>
  <si>
    <t>info@grmrice.com</t>
  </si>
  <si>
    <t>https://grmrice.com</t>
  </si>
  <si>
    <t>Multiple plants (Haryana, Punjab)</t>
  </si>
  <si>
    <t>RCMC-00567</t>
  </si>
  <si>
    <t>Large basmati exporter</t>
  </si>
  <si>
    <t>Dunar Foods Ltd</t>
  </si>
  <si>
    <t>info@dunar.in</t>
  </si>
  <si>
    <t>https://dunar.in</t>
  </si>
  <si>
    <t>Karnal, Haryana</t>
  </si>
  <si>
    <t>RCMC-00678</t>
  </si>
  <si>
    <t>Sunstar Overseas Ltd</t>
  </si>
  <si>
    <t>info@sunstaroverseas.com</t>
  </si>
  <si>
    <t>https://sunstaroverseas.com</t>
  </si>
  <si>
    <t>Basmati &amp; 1121 variety</t>
  </si>
  <si>
    <t>RCMC-00789</t>
  </si>
  <si>
    <t>Louis Dreyfus Company India (Non-Basmati &amp; Maize)</t>
  </si>
  <si>
    <t>Country Head</t>
  </si>
  <si>
    <t>india@louis Dreyfus.com</t>
  </si>
  <si>
    <t>https://ldc.com</t>
  </si>
  <si>
    <t>Multiple locations</t>
  </si>
  <si>
    <t>Non-basmati, maize, wheat</t>
  </si>
  <si>
    <t>One of India’s largest cereal traders/exporters</t>
  </si>
  <si>
    <t>Olam Agro India Pvt Ltd</t>
  </si>
  <si>
    <t>india@olamnet.com</t>
  </si>
  <si>
    <t>https://olamgroup.com</t>
  </si>
  <si>
    <t>Rice, wheat, maize</t>
  </si>
  <si>
    <t>Major non-basmati &amp; maize exporter</t>
  </si>
  <si>
    <t>Adani Wilmar (Fortune Rice)</t>
  </si>
  <si>
    <t>info@adaniwilmar.com</t>
  </si>
  <si>
    <t>https://adaniwilmar.com</t>
  </si>
  <si>
    <t>Ahmedabad &amp; multiple plants</t>
  </si>
  <si>
    <t>Non-basmati &amp; broken rice</t>
  </si>
  <si>
    <t>Indian Institute of Rice Research (IIRR)</t>
  </si>
  <si>
    <t>director.iirr@icar.gov.in</t>
  </si>
  <si>
    <t>https://iirr.icar.gov.in</t>
  </si>
  <si>
    <t>Rajendranagar, Hyderabad - 500030</t>
  </si>
  <si>
    <t>Training on export-quality rice varieties</t>
  </si>
  <si>
    <t>RCMC Authority for wheat flour, maida, malt, starch</t>
  </si>
  <si>
    <t>Nodal body for Chapter 11 exports</t>
  </si>
  <si>
    <t>2025-11-20T10:00:00Z</t>
  </si>
  <si>
    <t>Directorate General of Foreign Trade (DGFT) - Wheat Export Policy</t>
  </si>
  <si>
    <t>Joint DGFT</t>
  </si>
  <si>
    <t>https://dgft.gov.in</t>
  </si>
  <si>
    <t>Udyog Bhawan, New Delhi</t>
  </si>
  <si>
    <t>Controls wheat &amp; wheat product export quotas</t>
  </si>
  <si>
    <t>ITC Ltd (Aashirvaad Atta &amp; Sunfeast)</t>
  </si>
  <si>
    <t>https://itcportal.com</t>
  </si>
  <si>
    <t>Multiple mills (wheat flour, maida, sooji)</t>
  </si>
  <si>
    <t>Largest branded wheat flour exporter</t>
  </si>
  <si>
    <t>General Mills India (Pillsbury Atta)</t>
  </si>
  <si>
    <t>https://generalmills.com</t>
  </si>
  <si>
    <t>Mumbai &amp; multiple plants</t>
  </si>
  <si>
    <t>Whole-wheat atta &amp; maida</t>
  </si>
  <si>
    <t>Hindustan Unilever (Annapurna Atta)</t>
  </si>
  <si>
    <t>https://hul.co.in</t>
  </si>
  <si>
    <t>Branded atta</t>
  </si>
  <si>
    <t>Bansal Fine Foods (Banno Atta)</t>
  </si>
  <si>
    <t>Punjab</t>
  </si>
  <si>
    <t>Amritsar</t>
  </si>
  <si>
    <t>info@bansalgroup.in</t>
  </si>
  <si>
    <t>https://bansalgroup.in</t>
  </si>
  <si>
    <t>Amritsar &amp; Punjab mills</t>
  </si>
  <si>
    <t>Wheat flour &amp; sooji</t>
  </si>
  <si>
    <t>Large wheat flour exporter</t>
  </si>
  <si>
    <t>Shakti Bhog Foods Ltd</t>
  </si>
  <si>
    <t>info@shaktibhog.com</t>
  </si>
  <si>
    <t>https://shaktibhog.com</t>
  </si>
  <si>
    <t>Multiple plants (Delhi, Haryana)</t>
  </si>
  <si>
    <t>Atta, maida, sooji</t>
  </si>
  <si>
    <t>Naturell India Pvt Ltd (A.P. Organics)</t>
  </si>
  <si>
    <t>Sangrur</t>
  </si>
  <si>
    <t>info@naturellindia.com</t>
  </si>
  <si>
    <t>https://naturellindia.com</t>
  </si>
  <si>
    <t>Sangrur &amp; Punjab plants</t>
  </si>
  <si>
    <t>Organic wheat flour &amp; malt</t>
  </si>
  <si>
    <t>Organic wheat products exporter</t>
  </si>
  <si>
    <t>Rohit Flour Mills (Gold Seal)</t>
  </si>
  <si>
    <t>Sonipat</t>
  </si>
  <si>
    <t>Maida, sooji, bran</t>
  </si>
  <si>
    <t>Cargill India Pvt Ltd – Wheat Milling</t>
  </si>
  <si>
    <t>https://cargill.co.in</t>
  </si>
  <si>
    <t>Plants in Haryana &amp; Karnataka</t>
  </si>
  <si>
    <t>Wheat flour &amp; malt</t>
  </si>
  <si>
    <t>Gulab Singh &amp; Sons (Besan)</t>
  </si>
  <si>
    <t>Khari Baoli, Delhi</t>
  </si>
  <si>
    <t>Gram flour (besan)</t>
  </si>
  <si>
    <t>Largest besan exporter</t>
  </si>
  <si>
    <t>Riddhi Siddhi Gluco Biols Ltd (Maize Starch)</t>
  </si>
  <si>
    <t>Gokak</t>
  </si>
  <si>
    <t>info@riddhisiddhi.co.in</t>
  </si>
  <si>
    <t>https://riddhisiddhi.co.in</t>
  </si>
  <si>
    <t>Gokak, Belgaum &amp; other plants</t>
  </si>
  <si>
    <t>Maize starch &amp; derivatives</t>
  </si>
  <si>
    <t>Largest maize starch exporter</t>
  </si>
  <si>
    <t>Roquette Riddhi Siddhi Pvt Ltd</t>
  </si>
  <si>
    <t>https://roquette.com</t>
  </si>
  <si>
    <t>Plants in Gujarat &amp; Karnataka</t>
  </si>
  <si>
    <t>Starch &amp; derivatives</t>
  </si>
  <si>
    <t>Indian Institute of Food Processing Technology (IIFPT)</t>
  </si>
  <si>
    <t>Thanjavur</t>
  </si>
  <si>
    <t>director@iifpt.edu.in</t>
  </si>
  <si>
    <t>https://iifpt.edu.in</t>
  </si>
  <si>
    <t>Training on milling &amp; starch technology</t>
  </si>
  <si>
    <t>RCMC Authority for oilseeds &amp; seeds</t>
  </si>
  <si>
    <t>Nodal body for Chapter 12 exports</t>
  </si>
  <si>
    <t>2025-11-20T11:00:00Z</t>
  </si>
  <si>
    <t>Indian Oilseeds &amp; Produce Export Promotion Council (IOPEPC)</t>
  </si>
  <si>
    <t>info@iocepc.org</t>
  </si>
  <si>
    <t>https://iocepc.org</t>
  </si>
  <si>
    <t>Sea Food House, Plot 7, Sector 19C, Vashi, Navi Mumbai - 400703</t>
  </si>
  <si>
    <t>RCMC issuing authority for oilseeds</t>
  </si>
  <si>
    <t>Apex body for oilseeds export promotion</t>
  </si>
  <si>
    <t>Solvent Extractors’ Association of India (SEA)</t>
  </si>
  <si>
    <t>Executive Director</t>
  </si>
  <si>
    <t>solvent@mtnl.net.in</t>
  </si>
  <si>
    <t>https://seaofindia.com</t>
  </si>
  <si>
    <t>142 Jolly Maker Chambers No.2, Nariman Point, Mumbai - 400021</t>
  </si>
  <si>
    <t>Represents oilseed crushers &amp; exporters</t>
  </si>
  <si>
    <t>Dipak Oils (Dipak Brand) – HPS Groundnut</t>
  </si>
  <si>
    <t>Rajkot</t>
  </si>
  <si>
    <t>info@dipakoils.com</t>
  </si>
  <si>
    <t>Rajkot &amp; Saurashtra region</t>
  </si>
  <si>
    <t>RCMC-SESAME01</t>
  </si>
  <si>
    <t>Largest sesame &amp; HPS groundnut exporter</t>
  </si>
  <si>
    <t>Olam Agro India Pvt Ltd – Sesame &amp; Groundnut</t>
  </si>
  <si>
    <t>Multiple sourcing &amp; processing units</t>
  </si>
  <si>
    <t>Major sesame, groundnut &amp; niger exporter</t>
  </si>
  <si>
    <t>VLC Spices Pvt Ltd</t>
  </si>
  <si>
    <t>Unjha</t>
  </si>
  <si>
    <t>info@vlcspices.com</t>
  </si>
  <si>
    <t>https://vlcspices.com</t>
  </si>
  <si>
    <t>Unjha (Spice Market)</t>
  </si>
  <si>
    <t>Sesame &amp; cumin</t>
  </si>
  <si>
    <t>Jayant Agro-Organics Ltd – Castor Oil &amp; Derivatives</t>
  </si>
  <si>
    <t>info@jayantagro.com</t>
  </si>
  <si>
    <t>https://jayantagro.com</t>
  </si>
  <si>
    <t>Mumbai &amp; Gujarat plants</t>
  </si>
  <si>
    <t>Castor seed &amp; oil</t>
  </si>
  <si>
    <t>World’s largest castor oil exporter</t>
  </si>
  <si>
    <t>Gokul Agro Resources Ltd – Castor &amp; Soybean</t>
  </si>
  <si>
    <t>Gandhidham</t>
  </si>
  <si>
    <t>info@gokulagro.com</t>
  </si>
  <si>
    <t>https://gokulagro.com</t>
  </si>
  <si>
    <t>Gandhidham &amp; Sidhpur plants</t>
  </si>
  <si>
    <t>Castor &amp; soybean meal exporter</t>
  </si>
  <si>
    <t>Adani Wilmar (Fortune) – Soybean Meal &amp; Oilseeds</t>
  </si>
  <si>
    <t>Soybean meal &amp; oilseeds</t>
  </si>
  <si>
    <t>Louis Dreyfus Company India – Soybean &amp; Rapeseed Meal</t>
  </si>
  <si>
    <t>india@louisdreyfus.com</t>
  </si>
  <si>
    <t>Large soybean &amp; rapeseed meal exporter</t>
  </si>
  <si>
    <t>Unjha Spices Market (Sesame &amp; Cumin Cluster)</t>
  </si>
  <si>
    <t>Mehsana (Unjha)</t>
  </si>
  <si>
    <t>Unjha APMC</t>
  </si>
  <si>
    <t>World’s largest cumin &amp; sesame market</t>
  </si>
  <si>
    <t>Rajkot Groundnut Cluster</t>
  </si>
  <si>
    <t>Rajkot &amp; Saurashtra</t>
  </si>
  <si>
    <t>HPS groundnut kernels export cluster</t>
  </si>
  <si>
    <t>ICAR-Directorate of Groundnut Research (DGR)</t>
  </si>
  <si>
    <t>Junagadh</t>
  </si>
  <si>
    <t>director@dgr.org.in</t>
  </si>
  <si>
    <t>https://dgr.icar.gov.in</t>
  </si>
  <si>
    <t>Training on groundnut export varieties</t>
  </si>
  <si>
    <t>ICAR-Indian Institute of Oilseeds Research (IIOR)</t>
  </si>
  <si>
    <t>director@icar-iior.org.in</t>
  </si>
  <si>
    <t>https://iior.icar.gov.in</t>
  </si>
  <si>
    <t>Rajendranagar, Hyderabad</t>
  </si>
  <si>
    <t>Training on soybean, sunflower, castor, sesame etc.</t>
  </si>
  <si>
    <t>RCMC Authority for Guar Gum</t>
  </si>
  <si>
    <t>Nodal body for Chapter 13 exports</t>
  </si>
  <si>
    <t>2025-11-20T12:00:00Z</t>
  </si>
  <si>
    <t>Shellac and Forest Products Export Promotion Council (SHEFEXIL)</t>
  </si>
  <si>
    <t>info@shefexil.org</t>
  </si>
  <si>
    <t>https://shefexil.org</t>
  </si>
  <si>
    <t>Vanijya Bhawan, Kolkata &amp; Delhi office</t>
  </si>
  <si>
    <t>RCMC issuing for Guar Gum</t>
  </si>
  <si>
    <t>Handles guar gum RCMC</t>
  </si>
  <si>
    <t>India Glycols Ltd</t>
  </si>
  <si>
    <t>Uttarakhand</t>
  </si>
  <si>
    <t>Kashipur</t>
  </si>
  <si>
    <t>iglho@indiaglycols.com</t>
  </si>
  <si>
    <t>https://indiaglycols.com</t>
  </si>
  <si>
    <t>Kashipur &amp; Gorakhpur plants</t>
  </si>
  <si>
    <t>Guar gum splits &amp; powder</t>
  </si>
  <si>
    <t>RCMC-GUAR01</t>
  </si>
  <si>
    <t>One of the largest guar gum exporters</t>
  </si>
  <si>
    <t>Vikas WSP Ltd</t>
  </si>
  <si>
    <t>Rajasthan</t>
  </si>
  <si>
    <t>Sri Ganganagar</t>
  </si>
  <si>
    <t>info@vikaswsp.com</t>
  </si>
  <si>
    <t>https://vikaswsp.com</t>
  </si>
  <si>
    <t>Sri Ganganagar &amp; Bhiwani plants</t>
  </si>
  <si>
    <t>Largest guar gum powder exporter</t>
  </si>
  <si>
    <t>RCMC-GUAR02</t>
  </si>
  <si>
    <t>World’s largest guar gum producer/exporter</t>
  </si>
  <si>
    <t>Hindustan Gums &amp; Chemicals Ltd</t>
  </si>
  <si>
    <t>Bhiwani</t>
  </si>
  <si>
    <t>info@hindustangums.com</t>
  </si>
  <si>
    <t>https://hindustangums.com</t>
  </si>
  <si>
    <t>Bhiwani, Haryana</t>
  </si>
  <si>
    <t>RCMC-GUAR03</t>
  </si>
  <si>
    <t>Lucid Colloids Ltd</t>
  </si>
  <si>
    <t>info@lucidcolloids.com</t>
  </si>
  <si>
    <t>https://lucidcolloids.com</t>
  </si>
  <si>
    <t>Mumbai &amp; Jodhpur plants</t>
  </si>
  <si>
    <t>Guar gum derivatives</t>
  </si>
  <si>
    <t>RCMC-GUAR04</t>
  </si>
  <si>
    <t>Rama Gum Industries (India) Ltd</t>
  </si>
  <si>
    <t>Jodhpur</t>
  </si>
  <si>
    <t>info@ramagum.com</t>
  </si>
  <si>
    <t>https://ramagum.com</t>
  </si>
  <si>
    <t>Dechu, Jodhpur</t>
  </si>
  <si>
    <t>Guar gum powder &amp; splits</t>
  </si>
  <si>
    <t>RCMC-GUAR05</t>
  </si>
  <si>
    <t>Agro Gums</t>
  </si>
  <si>
    <t>info@agrogums.com</t>
  </si>
  <si>
    <t>https://agrogums.com</t>
  </si>
  <si>
    <t>Guar gum for food &amp; industrial use</t>
  </si>
  <si>
    <t>RCMC-GUAR06</t>
  </si>
  <si>
    <t>Altrafine Gums</t>
  </si>
  <si>
    <t>info@altrafine.com</t>
  </si>
  <si>
    <t>https://altrafine.com</t>
  </si>
  <si>
    <t>Guar, cassia, tamarind gums</t>
  </si>
  <si>
    <t>RCMC-GUAR07</t>
  </si>
  <si>
    <t>Rajasthani Guar Cluster (Jodhpur-Barmer)</t>
  </si>
  <si>
    <t>Jodhpur/Barmer</t>
  </si>
  <si>
    <t>Jodhpur &amp; Barmer region</t>
  </si>
  <si>
    <t>World’s largest guar seed production area</t>
  </si>
  <si>
    <t>~70% of global guar production</t>
  </si>
  <si>
    <t>ICAR-Central Arid Zone Research Institute (CAZRI)</t>
  </si>
  <si>
    <t>director.cazri@icar.gov.in</t>
  </si>
  <si>
    <t>https://cazri.res.in</t>
  </si>
  <si>
    <t>Training on guar cultivation &amp; export varieties</t>
  </si>
  <si>
    <t>RCMC for bamboo &amp; cane products</t>
  </si>
  <si>
    <t>Nodal body for Chapter 14 exports</t>
  </si>
  <si>
    <t>2025-11-20T13:00:00Z</t>
  </si>
  <si>
    <t>Export Promotion Council for Handicrafts (EPCH)</t>
  </si>
  <si>
    <t>info@epch.in</t>
  </si>
  <si>
    <t>https://epch.in</t>
  </si>
  <si>
    <t>EPCH House, Vasant Kunj, New Delhi</t>
  </si>
  <si>
    <t>RCMC issuing for handicraft bamboo/cane</t>
  </si>
  <si>
    <t>Handles most bamboo &amp; cane handicraft exports</t>
  </si>
  <si>
    <t>Tripura Bamboo &amp; Cane Development Centre (TRIBAC)</t>
  </si>
  <si>
    <t>Tripura</t>
  </si>
  <si>
    <t>Agartala</t>
  </si>
  <si>
    <t>tribac.tripura@gmail.com</t>
  </si>
  <si>
    <t>Largest organised bamboo cluster in India</t>
  </si>
  <si>
    <t>Cane &amp; Bamboo Technology Centre (CBTC)</t>
  </si>
  <si>
    <t>Guwahati</t>
  </si>
  <si>
    <t>info@cbtc.org.in</t>
  </si>
  <si>
    <t>https://cbtc.org.in</t>
  </si>
  <si>
    <t>Guwahati (under Ministry of DONER/NEC)</t>
  </si>
  <si>
    <t>Technology &amp; training</t>
  </si>
  <si>
    <t>Nodal R&amp;D and training centre</t>
  </si>
  <si>
    <t>Tripura Forest Development &amp; Plantation Corporation Ltd</t>
  </si>
  <si>
    <t>Government Processor</t>
  </si>
  <si>
    <t>tfdpc@tripura.gov.in</t>
  </si>
  <si>
    <t>Round bamboo &amp; bamboo sticks exporter</t>
  </si>
  <si>
    <t>Assam Cane &amp; Bamboo Industries</t>
  </si>
  <si>
    <t>Guwahati &amp; Jorhat units</t>
  </si>
  <si>
    <t>Bamboo mats, sticks, furniture</t>
  </si>
  <si>
    <t>Green Gold Bamboo Pvt Ltd</t>
  </si>
  <si>
    <t>info@greengoldbamboo.com</t>
  </si>
  <si>
    <t>Guwahati region</t>
  </si>
  <si>
    <t>Bamboo round sticks &amp; skewers</t>
  </si>
  <si>
    <t>Large exporter to Middle East &amp; Europe</t>
  </si>
  <si>
    <t>Konbac Bamboo Products Pvt Ltd</t>
  </si>
  <si>
    <t>Nagpur</t>
  </si>
  <si>
    <t>info@konbac.com</t>
  </si>
  <si>
    <t>https://konbac.com</t>
  </si>
  <si>
    <t>MIDC Nagpur</t>
  </si>
  <si>
    <t>Bamboo flooring &amp; panels</t>
  </si>
  <si>
    <t>Bamboo House India</t>
  </si>
  <si>
    <t>info@bamboohouseindia.com</t>
  </si>
  <si>
    <t>https://bamboohouseindia.com</t>
  </si>
  <si>
    <t>Bamboo blinds &amp; handicrafts</t>
  </si>
  <si>
    <t>Northeast Cane &amp; Bamboo Cluster (multiple units)</t>
  </si>
  <si>
    <t>Assam / Tripura</t>
  </si>
  <si>
    <t>Multiple</t>
  </si>
  <si>
    <t>Guwahati / Agartala</t>
  </si>
  <si>
    <t>Major bamboo handicraft &amp; industrial cluster</t>
  </si>
  <si>
    <t>~80% of India’s bamboo exports from North-East</t>
  </si>
  <si>
    <t>National Mission on Bamboo Applications (NMBA / TIFAC)</t>
  </si>
  <si>
    <t>Government Skill Centre</t>
  </si>
  <si>
    <t>Technology Bhawan, New Delhi</t>
  </si>
  <si>
    <t>Technology transfer &amp; training</t>
  </si>
  <si>
    <t>RCMC for ghee &amp; animal fats</t>
  </si>
  <si>
    <t>Nodal body for animal fat exports</t>
  </si>
  <si>
    <t>2025-11-20T14:00:00Z</t>
  </si>
  <si>
    <t>Export Inspection Council (EIC) – Animal Fat Health Cert</t>
  </si>
  <si>
    <t>Issues health cert for animal fats</t>
  </si>
  <si>
    <t>Gujarat Cooperative Milk Marketing Federation (Amul) – Ghee Division</t>
  </si>
  <si>
    <t>APEDA &amp; EIC approved</t>
  </si>
  <si>
    <t>RCMC-GHEE01</t>
  </si>
  <si>
    <t>India’s largest ghee exporter</t>
  </si>
  <si>
    <t>Mother Dairy Fruit &amp; Vegetable Pvt Ltd – Ghee</t>
  </si>
  <si>
    <t>feedback@motherdairy.com</t>
  </si>
  <si>
    <t>https://motherdairy.com</t>
  </si>
  <si>
    <t>Delhi &amp; multiple plants</t>
  </si>
  <si>
    <t>Ghee &amp; butter oil</t>
  </si>
  <si>
    <t>Large ghee exporter</t>
  </si>
  <si>
    <t>Milkfed Punjab (Verka) – Ghee</t>
  </si>
  <si>
    <t>Chandigarh</t>
  </si>
  <si>
    <t>milkfed@verka.coop</t>
  </si>
  <si>
    <t>https://verka.coop</t>
  </si>
  <si>
    <t>Chandigarh &amp; Punjab plants</t>
  </si>
  <si>
    <t>Ghee export</t>
  </si>
  <si>
    <t>Parag Milk Foods Ltd (Gowardhan Ghee)</t>
  </si>
  <si>
    <t>Manchar, Pune</t>
  </si>
  <si>
    <t>Pure cow ghee exporter</t>
  </si>
  <si>
    <t>Anik Industries Ltd (Anik Ghee)</t>
  </si>
  <si>
    <t>Indore</t>
  </si>
  <si>
    <t>info@anikgroup.com</t>
  </si>
  <si>
    <t>https://anikindustries.com</t>
  </si>
  <si>
    <t>Indore &amp; Dewas plants</t>
  </si>
  <si>
    <t>Ghee &amp; milk fat</t>
  </si>
  <si>
    <t>Allana Group – Rendered Fats (Tallow &amp; Lard)</t>
  </si>
  <si>
    <t>fats@allanasons.com</t>
  </si>
  <si>
    <t>Multiple rendering plants (Aligarh, Aurangabad, etc.)</t>
  </si>
  <si>
    <t>Beef tallow &amp; lard</t>
  </si>
  <si>
    <t>Largest animal fat (tallow) exporter</t>
  </si>
  <si>
    <t>Al Kabeer Exports – Poultry Fat &amp; Tallow</t>
  </si>
  <si>
    <t>Hyderabad &amp; Medak plants</t>
  </si>
  <si>
    <t>Poultry &amp; buffalo fat</t>
  </si>
  <si>
    <t>Godrej Agrovet – Animal Feed Fats (from rendering)</t>
  </si>
  <si>
    <t>Head (Animal Feed)</t>
  </si>
  <si>
    <t>https://godrejagrovet.com</t>
  </si>
  <si>
    <t>Multiple rendering units</t>
  </si>
  <si>
    <t>Poultry &amp; cattle fat</t>
  </si>
  <si>
    <t>ICAR-National Dairy Research Institute (NDRI) – Ghee Technology</t>
  </si>
  <si>
    <t>Karnal - 132001</t>
  </si>
  <si>
    <t>Training on ghee &amp; fat processing</t>
  </si>
  <si>
    <t>Agricultural and Processed Food Products Export Development Authority (APEDA) – HQ</t>
  </si>
  <si>
    <t>3rd Floor, NCUI Building, August Kranti Marg, New Delhi – 110016</t>
  </si>
  <si>
    <t>RCMC for meat preparations</t>
  </si>
  <si>
    <t>Nodal body for Chapter 16 meat products</t>
  </si>
  <si>
    <t>2025-11-20T15:00:00Z</t>
  </si>
  <si>
    <t>Export Inspection Council (EIC) – Delhi</t>
  </si>
  <si>
    <t>ND YMCA Building, Jai Singh Road, New Delhi – 110001</t>
  </si>
  <si>
    <t>Health certs for processed meat</t>
  </si>
  <si>
    <t>Allanasons Pvt Ltd – Ready-to-Eat &amp; Processed Meat Division</t>
  </si>
  <si>
    <t>Export Head</t>
  </si>
  <si>
    <t>rte@allanasons.com</t>
  </si>
  <si>
    <t>Allana Centre, Colaba, Mumbai (plants in multiple states)</t>
  </si>
  <si>
    <t>Largest exporter of frozen &amp; RTE buffalo meat products</t>
  </si>
  <si>
    <t>Al Kabeer Exports Pvt Ltd – RTE Division</t>
  </si>
  <si>
    <t>Rudraram, Medak</t>
  </si>
  <si>
    <t>EU-approved RTE plant</t>
  </si>
  <si>
    <t>Frozen burgers, kebabs, nuggets</t>
  </si>
  <si>
    <t>Venky’s (VH Group) – Processed Poultry Division</t>
  </si>
  <si>
    <t>Pune &amp; multiple plants</t>
  </si>
  <si>
    <t>Poultry sausages, nuggets, cold cuts</t>
  </si>
  <si>
    <t>Largest poultry RTE exporter</t>
  </si>
  <si>
    <t>Innovative Foods Ltd (Sumeru)</t>
  </si>
  <si>
    <t>info@sumeru.net</t>
  </si>
  <si>
    <t>https://sumeru.net</t>
  </si>
  <si>
    <t>Frozen RTE meat &amp; seafood</t>
  </si>
  <si>
    <t>Godrej Tyson Foods Ltd (Real Good Chicken / Yummiez)</t>
  </si>
  <si>
    <t>https://godrejtyson.com</t>
  </si>
  <si>
    <t>Multiple plants (processed chicken products)</t>
  </si>
  <si>
    <t>Chicken sausages, nuggets, RTE</t>
  </si>
  <si>
    <t>Darshan Foods Pvt Ltd</t>
  </si>
  <si>
    <t>Buffalo meat sausages &amp; canned meat</t>
  </si>
  <si>
    <t>Hyfun Foods Pvt Ltd (McCain India JV)</t>
  </si>
  <si>
    <t>Mehsana</t>
  </si>
  <si>
    <t>info@hyfunfoods.com</t>
  </si>
  <si>
    <t>https://hyfunfoods.com</t>
  </si>
  <si>
    <t>Mehsana (also meat-based snacks)</t>
  </si>
  <si>
    <t>Frozen meat snacks</t>
  </si>
  <si>
    <t>ICAR-National Research Centre on Meat – Processed Meat Division</t>
  </si>
  <si>
    <t>Chengicherla, Hyderabad</t>
  </si>
  <si>
    <t>Training in RTE meat products</t>
  </si>
  <si>
    <t>RCMC for jaggery &amp; confectionery</t>
  </si>
  <si>
    <t>Nodal body for Chapter 17 exports</t>
  </si>
  <si>
    <t>2025-11-20T16:00:00Z</t>
  </si>
  <si>
    <t>Indian Sugar &amp; Bio-energy Manufacturers Association (ISMA)</t>
  </si>
  <si>
    <t>Director General</t>
  </si>
  <si>
    <t>isma@indian sugar.com</t>
  </si>
  <si>
    <t>https://indiansugar.com</t>
  </si>
  <si>
    <t>Represents sugar &amp; jaggery mills</t>
  </si>
  <si>
    <t>Dhampur Sugar Mills Ltd</t>
  </si>
  <si>
    <t>Bijnor</t>
  </si>
  <si>
    <t>info@dhampur.com</t>
  </si>
  <si>
    <t>https://dhampur.com</t>
  </si>
  <si>
    <t>Dhampur, Bijnor</t>
  </si>
  <si>
    <t>Organic &amp; speciality jaggery, khandsari</t>
  </si>
  <si>
    <t>Large jaggery powder &amp; cube exporter</t>
  </si>
  <si>
    <t>Bajaj Hindusthan Sugar Ltd – Jaggery Division</t>
  </si>
  <si>
    <t>Gonda</t>
  </si>
  <si>
    <t>https://bajajhindusthan.com</t>
  </si>
  <si>
    <t>Multiple UP mills</t>
  </si>
  <si>
    <t>Jaggery &amp; khandsari</t>
  </si>
  <si>
    <t>Rajshree Sugars &amp; Chemicals Ltd</t>
  </si>
  <si>
    <t>https://rajshreesugars.com</t>
  </si>
  <si>
    <t>Tamil Nadu &amp; Karnataka plants</t>
  </si>
  <si>
    <t>Organic jaggery &amp; sugar</t>
  </si>
  <si>
    <t>Parrys Sugar (EID Parry) – Jaggery</t>
  </si>
  <si>
    <t>https://eidparry.com</t>
  </si>
  <si>
    <t>Chennai &amp; TN mills</t>
  </si>
  <si>
    <t>Jaggery cubes &amp; powder</t>
  </si>
  <si>
    <t>Sri Sri Tattva (Art of Living) – Organic Jaggery</t>
  </si>
  <si>
    <t>export@srisritattva.com</t>
  </si>
  <si>
    <t>https://srisritattva.com</t>
  </si>
  <si>
    <t>Organic chemical-free jaggery</t>
  </si>
  <si>
    <t>Organic India Pvt Ltd – Jaggery &amp; Mishri</t>
  </si>
  <si>
    <t>Lucknow</t>
  </si>
  <si>
    <t>export@organicindia.com</t>
  </si>
  <si>
    <t>https://organicindia.com</t>
  </si>
  <si>
    <t>Lucknow &amp; UP sourcing</t>
  </si>
  <si>
    <t>USDA/EU organic jaggery</t>
  </si>
  <si>
    <t>Banas Kantha Jaggery Cluster (Gujarat)</t>
  </si>
  <si>
    <t>Cluster/FPO group</t>
  </si>
  <si>
    <t>Banaskantha</t>
  </si>
  <si>
    <t>Palanpur &amp; Deesa region</t>
  </si>
  <si>
    <t>Largest jaggery production cluster in India</t>
  </si>
  <si>
    <t>~40% of India’s jaggery output</t>
  </si>
  <si>
    <t>Muzaffarnagar-Kolhapur Jaggery Belt</t>
  </si>
  <si>
    <t>Uttar Pradesh / Maharashtra</t>
  </si>
  <si>
    <t>Western UP &amp; Kolhapur</t>
  </si>
  <si>
    <t>Traditional khandsari &amp; jaggery</t>
  </si>
  <si>
    <t>National Institute of Food Technology Entrepreneurship and Management (NIFTEM)</t>
  </si>
  <si>
    <t>Sonepat</t>
  </si>
  <si>
    <t>director@niftem.ac.in</t>
  </si>
  <si>
    <t>https://niftem.ac.in</t>
  </si>
  <si>
    <t>Kundli, Sonepat</t>
  </si>
  <si>
    <t>Training on sugar &amp; jaggery processing</t>
  </si>
  <si>
    <t>RCMC for cocoa products</t>
  </si>
  <si>
    <t>Nodal body for Chapter 18 exports</t>
  </si>
  <si>
    <t>2025-11-20T17:00:00Z</t>
  </si>
  <si>
    <t>Campco (Central Arecanut &amp; Cocoa Marketing &amp; Processing Co-op)</t>
  </si>
  <si>
    <t>Cooperative Processor</t>
  </si>
  <si>
    <t>Mangalore</t>
  </si>
  <si>
    <t>campco@campco.org</t>
  </si>
  <si>
    <t>https://campco.org</t>
  </si>
  <si>
    <t>Mangalore (plants in Puttur, Karnataka)</t>
  </si>
  <si>
    <t>Largest cocoa bean procurer &amp; processor in India</t>
  </si>
  <si>
    <t>Mondelez India Foods Pvt Ltd (Cadbury)</t>
  </si>
  <si>
    <t>https://in.mondelezinternational.com</t>
  </si>
  <si>
    <t>Thane, Induri, Baddi, Sri City plants</t>
  </si>
  <si>
    <t>Chocolate &amp; cocoa powder</t>
  </si>
  <si>
    <t>India’s largest chocolate exporter</t>
  </si>
  <si>
    <t>Nestlé India Ltd – Cocoa &amp; Chocolate Division</t>
  </si>
  <si>
    <t>Moga</t>
  </si>
  <si>
    <t>https://nestle.in</t>
  </si>
  <si>
    <t>Moga &amp; other plants</t>
  </si>
  <si>
    <t>Cocoa powder &amp; chocolate</t>
  </si>
  <si>
    <t>Lotus Chocolate Company Ltd</t>
  </si>
  <si>
    <t>info@lotuschocolate.com</t>
  </si>
  <si>
    <t>https://lotuschocolate.com</t>
  </si>
  <si>
    <t>Medchal, Hyderabad</t>
  </si>
  <si>
    <t>Cocoa mass, butter, powder &amp; coverture</t>
  </si>
  <si>
    <t>Cocoa Products &amp; Beverages (CAMPCO Chocolate)</t>
  </si>
  <si>
    <t>Dakshina Kannada</t>
  </si>
  <si>
    <t>Puttur, Karnataka</t>
  </si>
  <si>
    <t>Chocolate bars &amp; cocoa powder</t>
  </si>
  <si>
    <t>Manjilas Food Tech (Double Horse) – Cocoa Products</t>
  </si>
  <si>
    <t>Thrissur</t>
  </si>
  <si>
    <t>export@manjilas.com</t>
  </si>
  <si>
    <t>https://doublehorse.com</t>
  </si>
  <si>
    <t>Cocoa powder &amp; drinking chocolate</t>
  </si>
  <si>
    <t>JB Chemicals &amp; Pharmaceuticals – Cocoa Butter Suppository Base</t>
  </si>
  <si>
    <t>Panoli</t>
  </si>
  <si>
    <t>https://jbcpl.com</t>
  </si>
  <si>
    <t>Panoli plant</t>
  </si>
  <si>
    <t>Pharma-grade cocoa butter</t>
  </si>
  <si>
    <t>Synthite Industries – Cocoa Extracts</t>
  </si>
  <si>
    <t>Kolenchery, Kochi</t>
  </si>
  <si>
    <t>Cocoa oleoresins &amp; flavours</t>
  </si>
  <si>
    <t>Kerala Cocoa Cluster (Idukki &amp; Wayanad)</t>
  </si>
  <si>
    <t>Idukki/Wayanad</t>
  </si>
  <si>
    <t>Idukki &amp; Wayanad</t>
  </si>
  <si>
    <t>Primary cocoa bean sourcing cluster</t>
  </si>
  <si>
    <t>~70% of Indian cocoa production</t>
  </si>
  <si>
    <t>ICAR-Central Plantation Crops Research Institute (CPCRI) – Cocoa Division</t>
  </si>
  <si>
    <t>Kasaragod</t>
  </si>
  <si>
    <t>director.cpcri@icar.gov.in</t>
  </si>
  <si>
    <t>https://cpcri.icar.gov.in</t>
  </si>
  <si>
    <t>Training on cocoa processing &amp; export quality</t>
  </si>
  <si>
    <t>RCMC for biscuits, cereals, pasta</t>
  </si>
  <si>
    <t>Nodal body for Chapter 19 exports</t>
  </si>
  <si>
    <t>2025-11-20T18:00:00Z</t>
  </si>
  <si>
    <t>Britannia Industries Ltd</t>
  </si>
  <si>
    <t>https://britannia.co.in</t>
  </si>
  <si>
    <t>Multiple plants (Bengaluru, Kolkata, Delhi, etc.)</t>
  </si>
  <si>
    <t>Biscuits, cakes, rusk</t>
  </si>
  <si>
    <t>India’s largest biscuit exporter</t>
  </si>
  <si>
    <t>Parle Products Pvt Ltd</t>
  </si>
  <si>
    <t>export@parle.biz</t>
  </si>
  <si>
    <t>https://parleproducts.com</t>
  </si>
  <si>
    <t>Vile Parle, Mumbai &amp; multiple plants</t>
  </si>
  <si>
    <t>Parle-G, Monaco, Hide &amp; Seek biscuits</t>
  </si>
  <si>
    <t>ITC Ltd – Biscuits &amp; Cakes (Sunfeast, Bingo)</t>
  </si>
  <si>
    <t>Multiple plants across India</t>
  </si>
  <si>
    <t>Biscuits, pasta, breakfast cereals</t>
  </si>
  <si>
    <t>Mondelez India (Oreo, Bournvita Biscuits)</t>
  </si>
  <si>
    <t>Plants in Maharashtra, AP, HP</t>
  </si>
  <si>
    <t>Premium biscuits &amp; cookies</t>
  </si>
  <si>
    <t>Unibic Foods India Pvt Ltd</t>
  </si>
  <si>
    <t>export@unibicfoods.com</t>
  </si>
  <si>
    <t>https://unibicfoods.com</t>
  </si>
  <si>
    <t>Bengaluru &amp; Mysore plants</t>
  </si>
  <si>
    <t>Cookies &amp; premium biscuits</t>
  </si>
  <si>
    <t>Bisk Farm (SAJ Food Products)</t>
  </si>
  <si>
    <t>https://biskfarm.com</t>
  </si>
  <si>
    <t>Kolkata &amp; Eastern India plants</t>
  </si>
  <si>
    <t>Biscuits &amp; rusks</t>
  </si>
  <si>
    <t>Haldiram’s</t>
  </si>
  <si>
    <t>export@haldiram.com</t>
  </si>
  <si>
    <t>https://haldiram.com</t>
  </si>
  <si>
    <t>Nagpur, Delhi, Kolkata plants</t>
  </si>
  <si>
    <t>Namkeen, bhujia, ethnic snacks</t>
  </si>
  <si>
    <t>Largest Indian ethnic snack exporter</t>
  </si>
  <si>
    <t>Bikaji Foods International Ltd</t>
  </si>
  <si>
    <t>Bikaner</t>
  </si>
  <si>
    <t>export@bikaji.com</t>
  </si>
  <si>
    <t>https://bikaji.com</t>
  </si>
  <si>
    <t>Bikaner &amp; Rajasthan plants</t>
  </si>
  <si>
    <t>Bhujia, namkeen, papad</t>
  </si>
  <si>
    <t>MTR Foods (Orkla India) – Breakfast Cereals &amp; Vermicelli</t>
  </si>
  <si>
    <t>https://mtrfoods.com</t>
  </si>
  <si>
    <t>Bengaluru plants</t>
  </si>
  <si>
    <t>Vermicelli, instant mixes</t>
  </si>
  <si>
    <t>Bikanervala Foods Pvt Ltd</t>
  </si>
  <si>
    <t>export@bikanervala.com</t>
  </si>
  <si>
    <t>https://bikanervala.com</t>
  </si>
  <si>
    <t>Delhi &amp; Rajasthan plants</t>
  </si>
  <si>
    <t>Namkeen &amp; sweets</t>
  </si>
  <si>
    <t>Prataap Snacks (Yellow Diamond)</t>
  </si>
  <si>
    <t>export@yellowdiamond.in</t>
  </si>
  <si>
    <t>https://yellowdiamond.in</t>
  </si>
  <si>
    <t>Indore plants</t>
  </si>
  <si>
    <t>Namkeen &amp; extruded snacks</t>
  </si>
  <si>
    <t>Indore Namkeen Cluster</t>
  </si>
  <si>
    <t>Largest namkeen cluster in India</t>
  </si>
  <si>
    <t>ICAR-Central Food Technological Research Institute (CFTRI) – Bakery &amp; Snack Division</t>
  </si>
  <si>
    <t>director@cftri.res.in</t>
  </si>
  <si>
    <t>https://cftri.res.in</t>
  </si>
  <si>
    <t>Training on biscuits, cereals, namkeen technology</t>
  </si>
  <si>
    <t>RCMC for pickles, pulp, jams</t>
  </si>
  <si>
    <t>Nodal body for Chapter 20 exports</t>
  </si>
  <si>
    <t>2025-11-20T19:00:00Z</t>
  </si>
  <si>
    <t>FieldFresh Foods Pvt Ltd (Del Monte India)</t>
  </si>
  <si>
    <t>Ludhiana</t>
  </si>
  <si>
    <t>info@fieldfreshfoods.in</t>
  </si>
  <si>
    <t>https://delmontefoods.in</t>
  </si>
  <si>
    <t>Hosur, Ludhiana &amp; other plants</t>
  </si>
  <si>
    <t>Tomato paste, canned vegetables, juices</t>
  </si>
  <si>
    <t>Joint venture with Bharti &amp; Del Monte</t>
  </si>
  <si>
    <t>Jain Farm Fresh Foods Ltd (Jain Irrigation)</t>
  </si>
  <si>
    <t>Jain Hills, Jalgaon</t>
  </si>
  <si>
    <t>Largest mango pulp &amp; puree exporter</t>
  </si>
  <si>
    <t>Shimla Hills Offerings Pvt Ltd</t>
  </si>
  <si>
    <t>Himachal Pradesh</t>
  </si>
  <si>
    <t>Shimla</t>
  </si>
  <si>
    <t>info@shimlahills.com</t>
  </si>
  <si>
    <t>https://shimlahills.com</t>
  </si>
  <si>
    <t>Shimla &amp; Solan plants</t>
  </si>
  <si>
    <t>Fruit pulp, concentrate, IQF</t>
  </si>
  <si>
    <t>Foods &amp; Inns Ltd</t>
  </si>
  <si>
    <t>info@foodsinns.com</t>
  </si>
  <si>
    <t>https://foodsandinns.com</t>
  </si>
  <si>
    <t>Nashik &amp; Chittoor plants</t>
  </si>
  <si>
    <t>Mango/tropical fruit pulp &amp; concentrate</t>
  </si>
  <si>
    <t>Mother’s Recipe (Desai Foods)</t>
  </si>
  <si>
    <t>export@mothersrecipe.com</t>
  </si>
  <si>
    <t>https://mothersrecipe.com</t>
  </si>
  <si>
    <t>Pickles, chutneys, pastes</t>
  </si>
  <si>
    <t>India’s largest pickle exporter</t>
  </si>
  <si>
    <t>Nilon’s Enterprises Pvt Ltd</t>
  </si>
  <si>
    <t>export@nilons.com</t>
  </si>
  <si>
    <t>https://nilons.com</t>
  </si>
  <si>
    <t>Pune &amp; Jalgaon plants</t>
  </si>
  <si>
    <t>Pickles, sauces, jams</t>
  </si>
  <si>
    <t>Priya Foods (Ushodaya Enterprises)</t>
  </si>
  <si>
    <t>export@priyafoods.com</t>
  </si>
  <si>
    <t>https://priyafoods.com</t>
  </si>
  <si>
    <t>Pickles, chutneys, spice pastes</t>
  </si>
  <si>
    <t>Pickles &amp; chutneys</t>
  </si>
  <si>
    <t>Mapro Foods Pvt Ltd</t>
  </si>
  <si>
    <t>Satara</t>
  </si>
  <si>
    <t>export@mapro.com</t>
  </si>
  <si>
    <t>https://mapro.com</t>
  </si>
  <si>
    <t>Wai, Satara</t>
  </si>
  <si>
    <t>Jams, crushes, fruit bars</t>
  </si>
  <si>
    <t>Tropilite Foods Pvt Ltd</t>
  </si>
  <si>
    <t>Gwalior</t>
  </si>
  <si>
    <t>info@tropolite.com</t>
  </si>
  <si>
    <t>https://tropolite.com</t>
  </si>
  <si>
    <t>Fruit pulp &amp; concentrates</t>
  </si>
  <si>
    <t>Chittoor Mango Pulp Cluster</t>
  </si>
  <si>
    <t>Chittoor</t>
  </si>
  <si>
    <t>Chittoor region</t>
  </si>
  <si>
    <t>India’s largest mango pulp cluster</t>
  </si>
  <si>
    <t>~60% of India’s mango pulp production</t>
  </si>
  <si>
    <t>Krishnagiri Mango Cluster</t>
  </si>
  <si>
    <t>Hosur-Krishnagiri belt</t>
  </si>
  <si>
    <t>Totapuri &amp; Alphonso pulp sourcing</t>
  </si>
  <si>
    <t>ICAR-Indian Institute of Horticultural Research (IIHR) – Post-Harvest Division</t>
  </si>
  <si>
    <t>Hessaraghatta, Bengaluru</t>
  </si>
  <si>
    <t>Training on pulp, jam, pickle technology</t>
  </si>
  <si>
    <t>RCMC for sauces, soups, flavours</t>
  </si>
  <si>
    <t>Nodal body for Chapter 21 exports</t>
  </si>
  <si>
    <t>2025-11-20T20:00:00Z</t>
  </si>
  <si>
    <t>FieldFresh Foods Pvt Ltd (Del Monte)</t>
  </si>
  <si>
    <t>Ludhiana &amp; other plants</t>
  </si>
  <si>
    <t>Ketchup, sauces, mayonnaise</t>
  </si>
  <si>
    <t>Nestlé India Ltd – Maggi &amp; Culinary</t>
  </si>
  <si>
    <t>Moga &amp; Goa &amp; other plants</t>
  </si>
  <si>
    <t>Sauces, soups, seasoning cubes</t>
  </si>
  <si>
    <t>Largest exporter of Maggi products</t>
  </si>
  <si>
    <t>Hindustan Unilever Ltd – Knorr, Kissan, Hellmann’s</t>
  </si>
  <si>
    <t>Soups, ketchup, mayonnaise</t>
  </si>
  <si>
    <t>Capital Foods (Ching’s Secret, Smith &amp; Jones)</t>
  </si>
  <si>
    <t>export@capitalfoods.co.in</t>
  </si>
  <si>
    <t>https://capitalfoods.co.in</t>
  </si>
  <si>
    <t>Nashik &amp; other plants</t>
  </si>
  <si>
    <t>Chinese sauces, schezwan chutney</t>
  </si>
  <si>
    <t>Veeba Food Services Pvt Ltd</t>
  </si>
  <si>
    <t>export@veeba.in</t>
  </si>
  <si>
    <t>https://veeba.in</t>
  </si>
  <si>
    <t>Mayonnaise, sauces, dressings</t>
  </si>
  <si>
    <t>Fast-growing sauce exporter</t>
  </si>
  <si>
    <t>Cremica Food Industries</t>
  </si>
  <si>
    <t>Phillaur</t>
  </si>
  <si>
    <t>info@cremica.in</t>
  </si>
  <si>
    <t>https://cremica.in</t>
  </si>
  <si>
    <t>Phillaur &amp; Himachal plants</t>
  </si>
  <si>
    <t>Mayonnaise, ketchup, sauces (McDonald’s supplier)</t>
  </si>
  <si>
    <t>Hamdard Laboratories (Rooh Afza, Cinkara)</t>
  </si>
  <si>
    <t>export@hamdard.in</t>
  </si>
  <si>
    <t>https://hamdard.in</t>
  </si>
  <si>
    <t>Delhi &amp; Ghaziabad plants</t>
  </si>
  <si>
    <t>Sharbat, Rooh Afza concentrate</t>
  </si>
  <si>
    <t>Iconic sharbat exporter</t>
  </si>
  <si>
    <t>Symrise Pvt Ltd (Flavours &amp; Fragrances)</t>
  </si>
  <si>
    <t>india@symrise.com</t>
  </si>
  <si>
    <t>https://symrise.com</t>
  </si>
  <si>
    <t>Chennai plant</t>
  </si>
  <si>
    <t>Food flavours &amp; seasonings</t>
  </si>
  <si>
    <t>International Flavors &amp; Fragrances India (IFF)</t>
  </si>
  <si>
    <t>https://iff.com</t>
  </si>
  <si>
    <t>Savoury &amp; sweet flavours</t>
  </si>
  <si>
    <t>Givaudan India Pvt Ltd</t>
  </si>
  <si>
    <t>https://givaudan.com</t>
  </si>
  <si>
    <t>Daman &amp; Pune plants</t>
  </si>
  <si>
    <t>Flavour compounds &amp; seasonings</t>
  </si>
  <si>
    <t>2025-11-20T20T20:00:00Z</t>
  </si>
  <si>
    <t>Mane India Pvt Ltd</t>
  </si>
  <si>
    <t>https://mane.com</t>
  </si>
  <si>
    <t>Ambernath plant</t>
  </si>
  <si>
    <t>Flavour &amp; seasoning systems</t>
  </si>
  <si>
    <t>Synthite Industries – Culinary Pastes &amp; Flavours</t>
  </si>
  <si>
    <t>Ginger-garlic paste, culinary seasonings</t>
  </si>
  <si>
    <t>ICAR-Central Institute of Post-Harvest Engineering &amp; Technology (CIPHET)</t>
  </si>
  <si>
    <t>director.ciphet@icar.gov.in</t>
  </si>
  <si>
    <t>https://ciphet.icar.gov.in</t>
  </si>
  <si>
    <t>Training on sauce &amp; flavour technology</t>
  </si>
  <si>
    <t>RCMC for animal feed &amp; de-oiled cakes</t>
  </si>
  <si>
    <t>Nodal body for Chapter 23 exports</t>
  </si>
  <si>
    <t>2025-11-20T21:00:00Z</t>
  </si>
  <si>
    <t>Indian Feed Industry Association (IFIA) / CLFMA</t>
  </si>
  <si>
    <t>clfma@clfma.org</t>
  </si>
  <si>
    <t>https://clfma.org</t>
  </si>
  <si>
    <t>Represents compound feed &amp; oilcake exporters</t>
  </si>
  <si>
    <t>Godrej Agrovet Ltd – Animal Feed Division</t>
  </si>
  <si>
    <t>Multiple plants (Khanna, Hajipur, Tumkur, etc.)</t>
  </si>
  <si>
    <t>Poultry &amp; cattle feed, de-oiled cakes</t>
  </si>
  <si>
    <t>Avanti Feeds Ltd – Shrimp &amp; Fish Feed</t>
  </si>
  <si>
    <t>avantiho@avantifeeds.com</t>
  </si>
  <si>
    <t>Multiple plants in AP &amp; Gujarat</t>
  </si>
  <si>
    <t>Shrimp &amp; aqua feed exporter</t>
  </si>
  <si>
    <t>Largest shrimp feed exporter</t>
  </si>
  <si>
    <t>Cargill India Pvt Ltd – Animal Nutrition</t>
  </si>
  <si>
    <t>Plants in Bathinda, Kurkumbh, Goa</t>
  </si>
  <si>
    <t>Poultry &amp; cattle feed, provimi brand</t>
  </si>
  <si>
    <t>Suguna Foods Pvt Ltd – Poultry Feed</t>
  </si>
  <si>
    <t>Multiple feed mills</t>
  </si>
  <si>
    <t>Poultry feed exporter</t>
  </si>
  <si>
    <t>Amrit Feeds Ltd</t>
  </si>
  <si>
    <t>info@amritgroup.net</t>
  </si>
  <si>
    <t>https://amritfeeds.com</t>
  </si>
  <si>
    <t>Kolkata &amp; Bihar plants</t>
  </si>
  <si>
    <t>Cattle &amp; poultry feed</t>
  </si>
  <si>
    <t>IB Group (ABIS) – Poultry &amp; Cattle Feed</t>
  </si>
  <si>
    <t>info@ibgroupco.in</t>
  </si>
  <si>
    <t>Rajnandgaon &amp; multiple plants</t>
  </si>
  <si>
    <t>Integrated poultry feed exporter</t>
  </si>
  <si>
    <t>Prestige Feed Mills (Prestige Group)</t>
  </si>
  <si>
    <t>https://prestigefeed.com</t>
  </si>
  <si>
    <t>Mysuru &amp; Davangere plants</t>
  </si>
  <si>
    <t>Kapila Feeds Pvt Ltd</t>
  </si>
  <si>
    <t>Vijayawada</t>
  </si>
  <si>
    <t>Aqua &amp; poultry feed</t>
  </si>
  <si>
    <t>De-oiled Rice Bran Exporters Cluster (Chhattisgarh &amp; AP)</t>
  </si>
  <si>
    <t>Chhattisgarh / Andhra Pradesh</t>
  </si>
  <si>
    <t>Raipur &amp; Vijayawada region</t>
  </si>
  <si>
    <t>India’s largest de-oiled rice bran exporter cluster</t>
  </si>
  <si>
    <t>~70% of global DORB exports</t>
  </si>
  <si>
    <t>Soybean Processors Association of India (SOPA)</t>
  </si>
  <si>
    <t>sopa@sopa.org</t>
  </si>
  <si>
    <t>https://sopa.org</t>
  </si>
  <si>
    <t>Represents soybean meal exporters</t>
  </si>
  <si>
    <t>ICAR-National Institute of Animal Nutrition &amp; Physiology (NIANP)</t>
  </si>
  <si>
    <t>director.nianp@icar.gov.in</t>
  </si>
  <si>
    <t>https://nianp.icar.gov.in</t>
  </si>
  <si>
    <t>Adugodi, Bengaluru</t>
  </si>
  <si>
    <t>Training on animal feed formulation &amp; export quality</t>
  </si>
  <si>
    <t>Essential Oils Association of India (EOAI)</t>
  </si>
  <si>
    <t>info@eoai.in</t>
  </si>
  <si>
    <t>https://eoai.in</t>
  </si>
  <si>
    <t>RCMC Issuing Authority for essential oils &amp; attars</t>
  </si>
  <si>
    <t>Apex body for Chapter 33 exports</t>
  </si>
  <si>
    <t>2025-11-21T13:00:00Z</t>
  </si>
  <si>
    <t>Fragrance &amp; Flavour Association of India (FAFAI)</t>
  </si>
  <si>
    <t>info@fafai.in</t>
  </si>
  <si>
    <t>https://fafai.in</t>
  </si>
  <si>
    <t>Represents perfumery &amp; flavour exporters</t>
  </si>
  <si>
    <t>Kannauj Attar Cluster (Kannauj Perfume)</t>
  </si>
  <si>
    <t>Kannauj</t>
  </si>
  <si>
    <t>World’s largest natural attar &amp; rose water cluster – 90% women SHGs</t>
  </si>
  <si>
    <t>M.L. Ramnarain Perfumers</t>
  </si>
  <si>
    <t>info@mlramnarain.com</t>
  </si>
  <si>
    <t>https://mlramnarain.com</t>
  </si>
  <si>
    <t>Traditional attar &amp; rose water exporter</t>
  </si>
  <si>
    <t>Fragrance of India (Kannauj Attar)</t>
  </si>
  <si>
    <t>Ruh Gulab, Kewra, Khus attar exporter</t>
  </si>
  <si>
    <t>Sugandh India</t>
  </si>
  <si>
    <t>Attar &amp; essential oils exporter</t>
  </si>
  <si>
    <t>Mehrotra Consumer Products (Henna/Mehendi)</t>
  </si>
  <si>
    <t>Kanpur</t>
  </si>
  <si>
    <t>export@premhenna.com</t>
  </si>
  <si>
    <t>https://premhenna.com</t>
  </si>
  <si>
    <t>Largest natural henna powder exporter</t>
  </si>
  <si>
    <t>Khadi Natural / Khadi Essentials</t>
  </si>
  <si>
    <t>export@khadiindia.net</t>
  </si>
  <si>
    <t>https://khadiindia.net</t>
  </si>
  <si>
    <t>Delhi &amp; multiple units</t>
  </si>
  <si>
    <t>Herbal cosmetics &amp; essential oils exporter</t>
  </si>
  <si>
    <t>Aroma Treasures (Zayn &amp; Myza)</t>
  </si>
  <si>
    <t>https://aromatreasure.com</t>
  </si>
  <si>
    <t>Essential oils &amp; aromatherapy exporter</t>
  </si>
  <si>
    <t>Kannauj Attar Women SHG Cooperative</t>
  </si>
  <si>
    <t>Women-led attar distillation cooperative</t>
  </si>
  <si>
    <t>Central Institute of Medicinal &amp; Aromatic Plants (CIMAP) – Kannauj Unit</t>
  </si>
  <si>
    <t>director@cimap.res.in</t>
  </si>
  <si>
    <t>https://cimap.res.in</t>
  </si>
  <si>
    <t>Kannauj field station</t>
  </si>
  <si>
    <t>Training in attar &amp; essential oil distillation</t>
  </si>
  <si>
    <t>Council for Leather Exports (CLE) - Headquarters</t>
  </si>
  <si>
    <t>cle@leatherindia.org</t>
  </si>
  <si>
    <t>https://leatherindia.org</t>
  </si>
  <si>
    <t>Chennai &amp; regional offices</t>
  </si>
  <si>
    <t>RCMC Issuing Authority for Chapter 41</t>
  </si>
  <si>
    <t>2025-authoritative body for leather &amp; footwear exports</t>
  </si>
  <si>
    <t>2025-11-20T22:00:00Z</t>
  </si>
  <si>
    <t>CLE Regional Office Kanpur</t>
  </si>
  <si>
    <t>Regional Director Director</t>
  </si>
  <si>
    <t>cleknp@leatherindia.org</t>
  </si>
  <si>
    <t>Buffalo leather cluster support</t>
  </si>
  <si>
    <t>CLE Regional Office Kolkata</t>
  </si>
  <si>
    <t>clekol@leatherindia.org</t>
  </si>
  <si>
    <t>Kolkata (for East &amp; North-East)</t>
  </si>
  <si>
    <t>Goat/sheep leather cluster</t>
  </si>
  <si>
    <t>Superhouse Group</t>
  </si>
  <si>
    <t>Kanpur/Unnao</t>
  </si>
  <si>
    <t>info@superhousegroup.com</t>
  </si>
  <si>
    <t>https://superhousegroup.com</t>
  </si>
  <si>
    <t>Multiple units in Kanpur &amp; Unnao</t>
  </si>
  <si>
    <t>Finished buffalo &amp; cow leather, shoes</t>
  </si>
  <si>
    <t>One of India’s largest leather exporters</t>
  </si>
  <si>
    <t>Tata International Ltd – Leather Division</t>
  </si>
  <si>
    <t>Head (Leather)</t>
  </si>
  <si>
    <t>leather@tata.com</t>
  </si>
  <si>
    <t>https://tatainternational.com</t>
  </si>
  <si>
    <t>Dewas, Kanpur, Chennai plants</t>
  </si>
  <si>
    <t>Finished leather (cow, buffalo, goat)</t>
  </si>
  <si>
    <t>Mirza International Ltd (Red Tape)</t>
  </si>
  <si>
    <t>info@mirza.co.in</t>
  </si>
  <si>
    <t>https://mirza.co.in</t>
  </si>
  <si>
    <t>Kanpur &amp; Unnao units</t>
  </si>
  <si>
    <t>Finished leather &amp; footwear</t>
  </si>
  <si>
    <t>Farida Group</t>
  </si>
  <si>
    <t>Chennai/Ambur</t>
  </si>
  <si>
    <t>info@farida.com</t>
  </si>
  <si>
    <t>https://farida.com</t>
  </si>
  <si>
    <t>Ambur &amp; Ranipet plants</t>
  </si>
  <si>
    <t>Goat &amp; sheep finished leather</t>
  </si>
  <si>
    <t>Largest exporter from South India</t>
  </si>
  <si>
    <t>Rahman Group</t>
  </si>
  <si>
    <t>Vaniyambadi</t>
  </si>
  <si>
    <t>https://rahmangroup.com</t>
  </si>
  <si>
    <t>Vaniyambadi &amp; Ambur units</t>
  </si>
  <si>
    <t>EI &amp; finished goat leather</t>
  </si>
  <si>
    <t>Florind Shoes / KH Exports</t>
  </si>
  <si>
    <t>info@khexports.com</t>
  </si>
  <si>
    <t>https://khexports.com</t>
  </si>
  <si>
    <t>Multiple tanneries in Tamil Nadu</t>
  </si>
  <si>
    <t>Goat &amp; sheep leather exporter</t>
  </si>
  <si>
    <t>N.M. Zackriah &amp; Co</t>
  </si>
  <si>
    <t>EI tanned goat &amp; sheep skins</t>
  </si>
  <si>
    <t>Classic exporter from Vaniyambadi cluster</t>
  </si>
  <si>
    <t>Kanpur-Unnao Leather Cluster</t>
  </si>
  <si>
    <t>Kanpur &amp; Unnao</t>
  </si>
  <si>
    <t>World’s largest buffalo finished leather cluster</t>
  </si>
  <si>
    <t>~50% of India’s leather exports</t>
  </si>
  <si>
    <t>Ambur-Vaniyambadi-Ranipet Leather Cluster</t>
  </si>
  <si>
    <t>Vellore/Tirupattur</t>
  </si>
  <si>
    <t>Ambur, Vaniyambadi, Ranipet</t>
  </si>
  <si>
    <t>Largest goat/sheep leather cluster</t>
  </si>
  <si>
    <t>Central Leather Research Institute (CLRI) – Chennai</t>
  </si>
  <si>
    <t>director@clri.org</t>
  </si>
  <si>
    <t>https://clri.org</t>
  </si>
  <si>
    <t>Adyar, Chennai</t>
  </si>
  <si>
    <t>R&amp;D, training &amp; testing for leather export quality</t>
  </si>
  <si>
    <t>Chennai (main office)</t>
  </si>
  <si>
    <t>RCMC Issuing Authority for Chapter 42</t>
  </si>
  <si>
    <t>Apex body for leather articles &amp; footwear exports</t>
  </si>
  <si>
    <t>2025-11-20T23:00:00Z</t>
  </si>
  <si>
    <t>Supports leather goods exporters</t>
  </si>
  <si>
    <t>Tata International Ltd – Leather Products Division</t>
  </si>
  <si>
    <t>Tamil Nadu / Maharashtra</t>
  </si>
  <si>
    <t>Chennai / Mumbai</t>
  </si>
  <si>
    <t>Head (Products)</t>
  </si>
  <si>
    <t>leatherproducts@tata.com</t>
  </si>
  <si>
    <t>Multiple units (Chennai, Dewas, Kanpur)</t>
  </si>
  <si>
    <t>Leather bags, wallets, belts, small leather goods</t>
  </si>
  <si>
    <t>One of the largest exporters of leather articles</t>
  </si>
  <si>
    <t>VIP Industries Ltd (VIP, Skybags, Aristocrat)</t>
  </si>
  <si>
    <t>info@vipindustries.co.in</t>
  </si>
  <si>
    <t>https://vipindustries.com</t>
  </si>
  <si>
    <t>Mumbai, Nashik, Nagpur plants</t>
  </si>
  <si>
    <t>Luggage &amp; leather travel goods</t>
  </si>
  <si>
    <t>India’s largest luggage exporter</t>
  </si>
  <si>
    <t>Da Milano Leathers Pvt Ltd</t>
  </si>
  <si>
    <t>export@damilano.com</t>
  </si>
  <si>
    <t>https://damilano.com</t>
  </si>
  <si>
    <t>Delhi &amp; Kanpur units</t>
  </si>
  <si>
    <t>Premium leather handbags &amp; accessories</t>
  </si>
  <si>
    <t>Hidesign (The Phoenix Mills Group)</t>
  </si>
  <si>
    <t>Puducherry</t>
  </si>
  <si>
    <t>export@hidesign.com</t>
  </si>
  <si>
    <t>https://hidesign.com</t>
  </si>
  <si>
    <t>Puducherry &amp; Chennai plants</t>
  </si>
  <si>
    <t>Luxury leather bags &amp; accessories</t>
  </si>
  <si>
    <t>Holii Accessories Pvt Ltd (Hidesign-HUL JV)</t>
  </si>
  <si>
    <t>https://holii.in</t>
  </si>
  <si>
    <t>Fashion leather handbags</t>
  </si>
  <si>
    <t>Leather Craft India Pvt Ltd (Bata &amp; Metro brands)</t>
  </si>
  <si>
    <t>Leather belts, wallets, travel goods</t>
  </si>
  <si>
    <t>Farida Classic Shoes Pvt Ltd (leather goods division)</t>
  </si>
  <si>
    <t>Ambur</t>
  </si>
  <si>
    <t>goods@farida.com</t>
  </si>
  <si>
    <t>Ambur &amp; Ranipet</t>
  </si>
  <si>
    <t>Leather bags &amp; small leather goods</t>
  </si>
  <si>
    <t>Alpine Apparels (Liberty Group) – Leather Goods</t>
  </si>
  <si>
    <t>https://libertyleathergoods.com</t>
  </si>
  <si>
    <t>Leather wallets &amp; belts</t>
  </si>
  <si>
    <t>Kanpur Leather Goods Cluster</t>
  </si>
  <si>
    <t>Saddlery, harness, travel goods, bags cluster</t>
  </si>
  <si>
    <t>India’s largest leather goods cluster</t>
  </si>
  <si>
    <t>Kolkata Leather Goods Cluster</t>
  </si>
  <si>
    <t>Kolkata (Tangra &amp; Bantala)</t>
  </si>
  <si>
    <t>Central Leather Research Institute (CLRI) – Product Design Division</t>
  </si>
  <si>
    <t>Training &amp; prototyping for leather goods</t>
  </si>
  <si>
    <t>Council for Leather Exports (CLE)</t>
  </si>
  <si>
    <t>RCMC for furskins &amp; artificial fur</t>
  </si>
  <si>
    <t>Handles Chapter 43 RCMC along with leather</t>
  </si>
  <si>
    <t>2025-11-20T23:30:00Z</t>
  </si>
  <si>
    <t>RCMC for articles of furskin (handicraft)</t>
  </si>
  <si>
    <t>For fur garments &amp; accessories</t>
  </si>
  <si>
    <t>Hindustan Furs Pvt Ltd</t>
  </si>
  <si>
    <t>info@hindustanfurs.com</t>
  </si>
  <si>
    <t>Dressed rabbit &amp; sheep skins, artificial fur</t>
  </si>
  <si>
    <t>One of the few active furskin exporters</t>
  </si>
  <si>
    <t>Kanpur Fur Cluster</t>
  </si>
  <si>
    <t>Small cluster for rabbit/sheep fur tanning</t>
  </si>
  <si>
    <t>Artificial Fur Manufacturers Association (part of EPCH)</t>
  </si>
  <si>
    <t>Artificial fur fabrics &amp; garments</t>
  </si>
  <si>
    <t>Growing segment for fashion &amp; home furnishings</t>
  </si>
  <si>
    <t>Bhartiya International Ltd – Fur Division</t>
  </si>
  <si>
    <t>https://bhartiyainternational.com</t>
  </si>
  <si>
    <t>Chennai &amp; Noida units</t>
  </si>
  <si>
    <t>Artificial fur coats &amp; accessories</t>
  </si>
  <si>
    <t>Central Leather Research Institute (CLRI) – Fur Processing Lab</t>
  </si>
  <si>
    <t>R&amp;D for fur tanning &amp; finishing</t>
  </si>
  <si>
    <t>Indian Panel Board &amp; Veneer Export Promotion Council (IPBV-EPC) – proposed under CAPEXIL</t>
  </si>
  <si>
    <t>info@capexil.org</t>
  </si>
  <si>
    <t>https://capexil.org</t>
  </si>
  <si>
    <t>RCMC for plywood, veneer, particle board</t>
  </si>
  <si>
    <t>Handles Chapter 44 RCMC</t>
  </si>
  <si>
    <t>2025-11-20T23:45:00Z</t>
  </si>
  <si>
    <t>RCMC for wooden handicrafts &amp; furniture components</t>
  </si>
  <si>
    <t>For artistic wood articles</t>
  </si>
  <si>
    <t>Century Plyboards (India) Ltd</t>
  </si>
  <si>
    <t>export@centuryply.com</t>
  </si>
  <si>
    <t>https://centuryply.com</t>
  </si>
  <si>
    <t>Multiple plants (Karnataka, Assam, WB)</t>
  </si>
  <si>
    <t>Largest plywood &amp; veneer exporter</t>
  </si>
  <si>
    <t>Greenply Industries Ltd</t>
  </si>
  <si>
    <t>Tinsukia</t>
  </si>
  <si>
    <t>export@greenply.com</t>
  </si>
  <si>
    <t>https://greenply.com</t>
  </si>
  <si>
    <t>Plants in Assam, Nagaland, WB</t>
  </si>
  <si>
    <t>Plywood, blockboard, veneer</t>
  </si>
  <si>
    <t>Kitply Industries Ltd (now part of Greenply)</t>
  </si>
  <si>
    <t>Margherita</t>
  </si>
  <si>
    <t>Margherita, Assam</t>
  </si>
  <si>
    <t>Plywood &amp; veneer</t>
  </si>
  <si>
    <t>Archidply Industries Ltd</t>
  </si>
  <si>
    <t>Chintamani</t>
  </si>
  <si>
    <t>export@archidply.com</t>
  </si>
  <si>
    <t>https://archidply.com</t>
  </si>
  <si>
    <t>Chintamani &amp; Rudrapur plants</t>
  </si>
  <si>
    <t>Plywood, decorative veneer</t>
  </si>
  <si>
    <t>Duroply Industries Ltd</t>
  </si>
  <si>
    <t>export@duroply.in</t>
  </si>
  <si>
    <t>https://duroply.in</t>
  </si>
  <si>
    <t>Kolkata &amp; Assam plants</t>
  </si>
  <si>
    <t>Plywood &amp; blockboard</t>
  </si>
  <si>
    <t>Rushil Décor Ltd</t>
  </si>
  <si>
    <t>Gandhinagar</t>
  </si>
  <si>
    <t>export@rushil.com</t>
  </si>
  <si>
    <t>https://rushil.com</t>
  </si>
  <si>
    <t>MDF &amp; decorative laminates with wood base</t>
  </si>
  <si>
    <t>Mangalam Timber Products Ltd</t>
  </si>
  <si>
    <t>Nabarangpur</t>
  </si>
  <si>
    <t>https://mangalamtimber.com</t>
  </si>
  <si>
    <t>Nabarangpur, Odisha</t>
  </si>
  <si>
    <t>Medium Density Fibreboard (MDF</t>
  </si>
  <si>
    <t>Assam Timber &amp; Plywood Cluster</t>
  </si>
  <si>
    <t>Tinsukia, Margherita, Guwahati</t>
  </si>
  <si>
    <t>Largest plywood manufacturing cluster in India</t>
  </si>
  <si>
    <t>Yamunanagar Plywood Cluster</t>
  </si>
  <si>
    <t>Yamunanagar</t>
  </si>
  <si>
    <t>Major plywood &amp; veneer cluster</t>
  </si>
  <si>
    <t>Institute of Wood Science &amp; Technology (IWST) – Bengaluru</t>
  </si>
  <si>
    <t>director_iwst@icar.gov.in</t>
  </si>
  <si>
    <t>https://iwst.icar.gov.in</t>
  </si>
  <si>
    <t>Malleswaram, Bengaluru</t>
  </si>
  <si>
    <t>Training on plywood, veneer &amp; wood products</t>
  </si>
  <si>
    <t>CAPEXIL (Rubber &amp; Cork Panel)</t>
  </si>
  <si>
    <t>Chairman (Cork)</t>
  </si>
  <si>
    <t>info@capexil.in</t>
  </si>
  <si>
    <t>Vandhna Building, 11 Tolstoy Marg, New Delhi - 110001 (HQ)</t>
  </si>
  <si>
    <t>RCMC Issuing Authority for cork &amp; cork products</t>
  </si>
  <si>
    <t>Nodal body for Chapter 45 exports</t>
  </si>
  <si>
    <t>2025-11-21T00:00:00Z</t>
  </si>
  <si>
    <t>Hindustan Cork Industries</t>
  </si>
  <si>
    <t>info@hindustancork.com</t>
  </si>
  <si>
    <t>Mapusa, Goa</t>
  </si>
  <si>
    <t>Agglomerated cork sheets &amp; stoppers</t>
  </si>
  <si>
    <t>One of the oldest cork processors in India</t>
  </si>
  <si>
    <t>Cork India Pvt Ltd</t>
  </si>
  <si>
    <t>Natural cork stoppers &amp; discs</t>
  </si>
  <si>
    <t>Goa Cork Industries</t>
  </si>
  <si>
    <t>Ponda, Goa</t>
  </si>
  <si>
    <t>Cork sheets &amp; gaskets</t>
  </si>
  <si>
    <t>Precision Corks Pvt Ltd</t>
  </si>
  <si>
    <t>Wine &amp; champagne cork stoppers</t>
  </si>
  <si>
    <t>Indian Cork Manufacturers Association</t>
  </si>
  <si>
    <t>Represents cork processors in Goa &amp; Kerala</t>
  </si>
  <si>
    <t>EPCH House, Pocket 6&amp;7, Sector C, Vasant Kunj, New Delhi - 110070</t>
  </si>
  <si>
    <t>RCMC Issuing Authority for basketware &amp; wickerwork</t>
  </si>
  <si>
    <t>Apex body for Chapter 46 exports</t>
  </si>
  <si>
    <t>2025-11-21T01:00:00Z</t>
  </si>
  <si>
    <t>Cane &amp; Bamboo Technology Centre (CBTC) – Guwahati</t>
  </si>
  <si>
    <t>Kamrup Metro</t>
  </si>
  <si>
    <t>Bamunimaidan, Guwahati - 781021</t>
  </si>
  <si>
    <t>Technology &amp; training for basketware</t>
  </si>
  <si>
    <t>Tripura Bamboo Mission / TRIBAC</t>
  </si>
  <si>
    <t>West Tripura</t>
  </si>
  <si>
    <t>Largest organised bamboo basketware cluster</t>
  </si>
  <si>
    <t>Agarbatti &amp; Bamboo Basket Cluster – Agartala</t>
  </si>
  <si>
    <t>Agartala region</t>
  </si>
  <si>
    <t>Major exporter of bamboo baskets &amp; mats</t>
  </si>
  <si>
    <t>North East Cane &amp; Bamboo Development Council (NECBDC)</t>
  </si>
  <si>
    <t>Promotes basketware from NE states</t>
  </si>
  <si>
    <t>Baskets of India (Tripura Bamboo &amp; Cane)</t>
  </si>
  <si>
    <t>export@basketsofindia.com</t>
  </si>
  <si>
    <t>https://basketsofindia.com</t>
  </si>
  <si>
    <t>Bamboo laundry baskets, fruit baskets</t>
  </si>
  <si>
    <t>Large exporter to Europe &amp; USA</t>
  </si>
  <si>
    <t>Green Kraft India</t>
  </si>
  <si>
    <t>info@greenkraftindia.com</t>
  </si>
  <si>
    <t>Bamboo &amp; cane basketware</t>
  </si>
  <si>
    <t>Palm Leaf Basket Cluster – Odisha</t>
  </si>
  <si>
    <t>Koraput, Rayagada, Ganjam</t>
  </si>
  <si>
    <t>Palm leaf &amp; sabai grass baskets</t>
  </si>
  <si>
    <t>Kerala State Bamboo Corporation</t>
  </si>
  <si>
    <t>ksbcl@keralabamboo.com</t>
  </si>
  <si>
    <t>Bamboo mats &amp; basketware</t>
  </si>
  <si>
    <t>Society for Rural Development (SRD) – Palm Leaf Baskets</t>
  </si>
  <si>
    <t>NGO/Exporter</t>
  </si>
  <si>
    <t>Madurai region</t>
  </si>
  <si>
    <t>Palm leaf baskets &amp; mats</t>
  </si>
  <si>
    <t>Women-led artisan group</t>
  </si>
  <si>
    <t>CAPEXIL (Paper &amp; Paper Board Panel)</t>
  </si>
  <si>
    <t>Chairman (Paper)</t>
  </si>
  <si>
    <t>RCMC Issuing Authority for Chapter 47</t>
  </si>
  <si>
    <t>Nodal body for pulp &amp; waste paper exports</t>
  </si>
  <si>
    <t>2025-11-21T02:00:00Z</t>
  </si>
  <si>
    <t>Indian Pulp &amp; Paper Mills Association (IPMA)</t>
  </si>
  <si>
    <t>ipma@ipma.co.in</t>
  </si>
  <si>
    <t>https://ipma.co.in</t>
  </si>
  <si>
    <t>Represents major pulp &amp; paper mills</t>
  </si>
  <si>
    <t>Ballarpur Industries Ltd (BILT) – part of Avantha Group</t>
  </si>
  <si>
    <t>Chandrapur</t>
  </si>
  <si>
    <t>https://avanthagroup.com</t>
  </si>
  <si>
    <t>Ballarpur, Maharashtra (largest integrated pulp mill)</t>
  </si>
  <si>
    <t>Bleached hardwood pulp</t>
  </si>
  <si>
    <t>India’s largest wood pulp producer &amp; exporter</t>
  </si>
  <si>
    <t>JK Paper Ltd</t>
  </si>
  <si>
    <t>Rayagada</t>
  </si>
  <si>
    <t>jkpaper@jkmail.com</t>
  </si>
  <si>
    <t>https://jkpaper.com</t>
  </si>
  <si>
    <t>Unit: JKPM Rayagada &amp; Songadh (Gujarat)</t>
  </si>
  <si>
    <t>Bleached pulp from bamboo &amp; wood</t>
  </si>
  <si>
    <t>West Coast Paper Mills Ltd</t>
  </si>
  <si>
    <t>Uttara Kannada</t>
  </si>
  <si>
    <t>export@wcpmltd.com</t>
  </si>
  <si>
    <t>https://westcoastpaper.com</t>
  </si>
  <si>
    <t>Dandeli, Karnataka</t>
  </si>
  <si>
    <t>Chemical pulp exporter</t>
  </si>
  <si>
    <t>Tamil Nadu Newsprint &amp; Papers Ltd (TNPL)</t>
  </si>
  <si>
    <t>Karur</t>
  </si>
  <si>
    <t>export@tnpl.co.in</t>
  </si>
  <si>
    <t>https://tnpl.com</t>
  </si>
  <si>
    <t>Kagithapuram, Karur</t>
  </si>
  <si>
    <t>Bagasse-based pulp exporter</t>
  </si>
  <si>
    <t>Seshasayee Paper &amp; Boards Ltd</t>
  </si>
  <si>
    <t>export@spbltd.com</t>
  </si>
  <si>
    <t>https://spbltd.com</t>
  </si>
  <si>
    <t>Erode &amp; Tirunelveli units</t>
  </si>
  <si>
    <t>Dissolving pulp &amp; paper pulp</t>
  </si>
  <si>
    <t>ITC Ltd – PSPD (Paperboards &amp; Specialty Papers)</t>
  </si>
  <si>
    <t>Head (Exports)</t>
  </si>
  <si>
    <t>Bhadrachalam unit (largest single-location pulp mill in India)</t>
  </si>
  <si>
    <t>Elemental chlorine-free pulp exporter</t>
  </si>
  <si>
    <t>Orient Paper &amp; Industries Ltd (CK Birla Group)</t>
  </si>
  <si>
    <t>Amlai</t>
  </si>
  <si>
    <t>https://orientpaperindia.com</t>
  </si>
  <si>
    <t>Amlai, Shahdol</t>
  </si>
  <si>
    <t>Pulp from bamboo &amp; hardwood</t>
  </si>
  <si>
    <t>Yash Papers Ltd (now Yash Pakka)</t>
  </si>
  <si>
    <t>Ayodhya</t>
  </si>
  <si>
    <t>export@yashpakka.com</t>
  </si>
  <si>
    <t>https://yashpakka.com</t>
  </si>
  <si>
    <t>Bagasse-based pulp &amp; moulded products</t>
  </si>
  <si>
    <t>Eco-friendly bagasse pulp exporter</t>
  </si>
  <si>
    <t>Indian Recycled Paper Mills Association (IRPMA)</t>
  </si>
  <si>
    <t>Represents waste paper importers &amp; recycled pulp mills</t>
  </si>
  <si>
    <t>Central Pulp &amp; Paper Research Institute (CPPRI)</t>
  </si>
  <si>
    <t>Saharanpur</t>
  </si>
  <si>
    <t>director@cppri.res.in</t>
  </si>
  <si>
    <t>https://cppri.res.in</t>
  </si>
  <si>
    <t>R&amp;D and training for pulp &amp; paper technology</t>
  </si>
  <si>
    <t>RCMC Issuing Authority for Chapter 48</t>
  </si>
  <si>
    <t>Nodal body for paper &amp; paperboard exports</t>
  </si>
  <si>
    <t>2025-11-21T03:00:00Z</t>
  </si>
  <si>
    <t>Indian Paper Manufacturers Association (IPMA)</t>
  </si>
  <si>
    <t>Represents large paper mills</t>
  </si>
  <si>
    <t>Unit: JKPM Rayagada &amp; CPM Songadh (Gujarat)</t>
  </si>
  <si>
    <t>Coated &amp; uncoated paper exporter</t>
  </si>
  <si>
    <t>One of India’s largest paper exporters</t>
  </si>
  <si>
    <t>Ballarpur Industries Ltd (BILT – Avantha Group)</t>
  </si>
  <si>
    <t>Ballarpur &amp; other units</t>
  </si>
  <si>
    <t>Coated paper &amp; specialty paper</t>
  </si>
  <si>
    <t>Writing &amp; printing paper exporter</t>
  </si>
  <si>
    <t>Newsprint &amp; printing paper exporter</t>
  </si>
  <si>
    <t>ITC Ltd – Paperboards &amp; Specialty Papers Division (PSPD)</t>
  </si>
  <si>
    <t>Bhadrachalam &amp; Tribeni units</t>
  </si>
  <si>
    <t>Coated paperboard &amp; specialty paper exporter</t>
  </si>
  <si>
    <t>Largest paperboard exporter</t>
  </si>
  <si>
    <t>Printing &amp; writing paper</t>
  </si>
  <si>
    <t>Orient Paper &amp; Industries Ltd</t>
  </si>
  <si>
    <t>Tissue &amp; writing paper</t>
  </si>
  <si>
    <t>NR Agarwal Industries Ltd</t>
  </si>
  <si>
    <t>Vapi</t>
  </si>
  <si>
    <t>export@nragarwal.com</t>
  </si>
  <si>
    <t>https://nragarwal.com</t>
  </si>
  <si>
    <t>Vapi &amp; Sarigam units</t>
  </si>
  <si>
    <t>Duplex board &amp; kraft paper exporter</t>
  </si>
  <si>
    <t>Emami Paper Mills Ltd</t>
  </si>
  <si>
    <t>export@emamipaper.in</t>
  </si>
  <si>
    <t>https://emamipaper.in</t>
  </si>
  <si>
    <t>Balasore (Odisha) &amp; Kolkata units</t>
  </si>
  <si>
    <t>Newsprint &amp; writing paper exporter</t>
  </si>
  <si>
    <t>Andhra Pradesh Paper Mills Ltd (IPAPPML)</t>
  </si>
  <si>
    <t>Rajahmundry</t>
  </si>
  <si>
    <t>https://ipappm.com</t>
  </si>
  <si>
    <t>Writing &amp; printing paper</t>
  </si>
  <si>
    <t>R&amp;D and testing for paper export quality</t>
  </si>
  <si>
    <t>CAPEXIL (Printing &amp; Publishing Panel)</t>
  </si>
  <si>
    <t>Chairman (Printing)</t>
  </si>
  <si>
    <t>RCMC Issuing Authority for printed books</t>
  </si>
  <si>
    <t>Nodal body for Chapter 49 exports</t>
  </si>
  <si>
    <t>2025-11-21T04:00:00Z</t>
  </si>
  <si>
    <t>Federation of Indian Publishers (FIP)</t>
  </si>
  <si>
    <t>info@fipindia.org</t>
  </si>
  <si>
    <t>https://fipindia.org</t>
  </si>
  <si>
    <t>Represents Indian book publishers &amp; exporters</t>
  </si>
  <si>
    <t>Thomson Press (India) Ltd</t>
  </si>
  <si>
    <t>export@thomsonpress.com</t>
  </si>
  <si>
    <t>https://thomsonpress.com</t>
  </si>
  <si>
    <t>Multiple plants (Delhi, Faridabad, Noida)</t>
  </si>
  <si>
    <t>One of India’s largest book printers &amp; exporters</t>
  </si>
  <si>
    <t>Prints for Penguin, HarperCollins, Oxford, etc.</t>
  </si>
  <si>
    <t>Replika Press Pvt Ltd</t>
  </si>
  <si>
    <t>export@replika.in</t>
  </si>
  <si>
    <t>https://replikapress.com</t>
  </si>
  <si>
    <t>Kundli, Sonipat</t>
  </si>
  <si>
    <t>High-quality colour books for international publishers</t>
  </si>
  <si>
    <t>Manipal Technologies Ltd (Manipal Digital)</t>
  </si>
  <si>
    <t>Manipal</t>
  </si>
  <si>
    <t>export@manipaltechnologies.com</t>
  </si>
  <si>
    <t>https://manipaltechnologies.com</t>
  </si>
  <si>
    <t>Manipal &amp; Bengaluru plants</t>
  </si>
  <si>
    <t>Books, magazines, calendars exporter</t>
  </si>
  <si>
    <t>Parksons Graphics Pvt Ltd</t>
  </si>
  <si>
    <t>export@parksonsgraphics.com</t>
  </si>
  <si>
    <t>https://parksonsgraphics.com</t>
  </si>
  <si>
    <t>Daman &amp; Mumbai plants</t>
  </si>
  <si>
    <t>Coffee-table &amp; art books exporter</t>
  </si>
  <si>
    <t>Nutech Print Services</t>
  </si>
  <si>
    <t>export@nutechbooks.com</t>
  </si>
  <si>
    <t>https://nutechbooks.com</t>
  </si>
  <si>
    <t>Delhi-NCR plants</t>
  </si>
  <si>
    <t>Educational &amp; trade books exporter</t>
  </si>
  <si>
    <t>Gopsons Papers Ltd</t>
  </si>
  <si>
    <t>Noida</t>
  </si>
  <si>
    <t>export@gopsons.com</t>
  </si>
  <si>
    <t>https://gopsons.com</t>
  </si>
  <si>
    <t>Noida &amp; Greater Noida plants</t>
  </si>
  <si>
    <t>Children’s &amp; illustrated books exporter</t>
  </si>
  <si>
    <t>Brijbasi Art Press Ltd</t>
  </si>
  <si>
    <t>https://brijbasi.com</t>
  </si>
  <si>
    <t>Religious &amp; art books exporter</t>
  </si>
  <si>
    <t>Noida-Delhi Book Printing Cluster</t>
  </si>
  <si>
    <t>National Capital Territory of Delhi / Uttar Pradesh</t>
  </si>
  <si>
    <t>Noida / Delhi</t>
  </si>
  <si>
    <t>Noida, Greater Noida, Delhi NCR</t>
  </si>
  <si>
    <t>World’s largest book printing cluster</t>
  </si>
  <si>
    <t>~70% of India’s printed book exports</t>
  </si>
  <si>
    <t>Federation of Indian Chambers of Commerce &amp; Industry (FICCI) – Publishing Committee</t>
  </si>
  <si>
    <t>https://ficci.in</t>
  </si>
  <si>
    <t>Promotes book publishing &amp; exports</t>
  </si>
  <si>
    <t>Central Silk Board (CSB) - Headquarters</t>
  </si>
  <si>
    <t>csb@csb.gov.in</t>
  </si>
  <si>
    <t>https://csb.gov.in</t>
  </si>
  <si>
    <t>CSB Complex, BTM Layout, Madivala, Bengaluru - 560068</t>
  </si>
  <si>
    <t>Apex body for silk development &amp; export promotion</t>
  </si>
  <si>
    <t>Nodal authority for Chapter 50</t>
  </si>
  <si>
    <t>2025-11-21T05:00:00Z</t>
  </si>
  <si>
    <t>Central Silk Board – Silk Export Promotion Council (SEPC)</t>
  </si>
  <si>
    <t>Director (Export)</t>
  </si>
  <si>
    <t>sepc@csb.gov.in</t>
  </si>
  <si>
    <t>RCMC Issuing Authority for silk</t>
  </si>
  <si>
    <t>Handles silk RCMC</t>
  </si>
  <si>
    <t>Indian Silk Export Promotion Council (ISEPC)</t>
  </si>
  <si>
    <t>isepc@isepcindia.com</t>
  </si>
  <si>
    <t>https://isepcindia.com</t>
  </si>
  <si>
    <t>RCMC for silk fabrics &amp; garments</t>
  </si>
  <si>
    <t>Karnataka State Sericulture Development Institute</t>
  </si>
  <si>
    <t>https://ksmb.karnataka.gov.in</t>
  </si>
  <si>
    <t>Major mulberry silk exporter state</t>
  </si>
  <si>
    <t>~60% of India’s raw silk production</t>
  </si>
  <si>
    <t>Himachal Pradesh State Handicrafts &amp; Handloom Corp (HIMCraft) – Silk Division</t>
  </si>
  <si>
    <t>https://himcrafts.nic.in</t>
  </si>
  <si>
    <t>Tassar &amp; Eri silk exporter</t>
  </si>
  <si>
    <t>Jharkhand Silk Textile &amp; Handicraft Dev Corp (Jharcraft) – Tassar Silk</t>
  </si>
  <si>
    <t>Jharkhand</t>
  </si>
  <si>
    <t>Ranchi</t>
  </si>
  <si>
    <t>jharcraft@jharkhand.gov.in</t>
  </si>
  <si>
    <t>https://jharcraft.in</t>
  </si>
  <si>
    <t>World’s largest Tassar silk exporter</t>
  </si>
  <si>
    <t>Assam Silk (Sualkuchi Cluster)</t>
  </si>
  <si>
    <t>Sualkuchi, Assam</t>
  </si>
  <si>
    <t>Muga &amp; Eri silk fabrics exporter</t>
  </si>
  <si>
    <t>Golden Muga silk cluster</t>
  </si>
  <si>
    <t>Reshamandi (Digital Silk Supply Chain)</t>
  </si>
  <si>
    <t>export@reshamandi.com</t>
  </si>
  <si>
    <t>https://reshamandi.com</t>
  </si>
  <si>
    <t>Raw silk, yarn &amp; fabric exporter</t>
  </si>
  <si>
    <t>Largest digital silk platform</t>
  </si>
  <si>
    <t>Mysore Silk Factory (Karnataka Silk Industries Corp)</t>
  </si>
  <si>
    <t>ksicsilk@ksicsilk.com</t>
  </si>
  <si>
    <t>https://ksicsilk.com</t>
  </si>
  <si>
    <t>Pure mulberry silk sarees &amp; fabrics exporter</t>
  </si>
  <si>
    <t>Famous Mysore Crepe silk</t>
  </si>
  <si>
    <t>Silk Mark Organisation of India (under CSB)</t>
  </si>
  <si>
    <t>silkmark@csb.gov.in</t>
  </si>
  <si>
    <t>https://silkmarkindia.com</t>
  </si>
  <si>
    <t>Purity certification for silk exports</t>
  </si>
  <si>
    <t>Wool &amp; Woollens Export Promotion Council (WWEPC)</t>
  </si>
  <si>
    <t>info@wwepcindia.com</t>
  </si>
  <si>
    <t>https://wwepcindia.com</t>
  </si>
  <si>
    <t>RCMC Issuing Authority for Chapter 51</t>
  </si>
  <si>
    <t>Apex body for wool &amp; woollen exports</t>
  </si>
  <si>
    <t>2025-11-21T06:00:00Z</t>
  </si>
  <si>
    <t>Central Wool Development Board (CWDB)</t>
  </si>
  <si>
    <t>cwdbjodhpur@gmail.com</t>
  </si>
  <si>
    <t>https://cwdb.gov.in</t>
  </si>
  <si>
    <t>Nodal agency for wool development &amp; export promotion</t>
  </si>
  <si>
    <t>Under Ministry of Textiles</t>
  </si>
  <si>
    <t>Bhuttico (Bhutti Weavers Cooperative) – Raw Wool &amp; Tops</t>
  </si>
  <si>
    <t>Kullu</t>
  </si>
  <si>
    <t>bhuttico@gmail.com</t>
  </si>
  <si>
    <t>https://bhuttico.com</t>
  </si>
  <si>
    <t>Bhutti Colony, Kullu</t>
  </si>
  <si>
    <t>Raw wool &amp; wool tops exporter</t>
  </si>
  <si>
    <t>Famous for Pashmina &amp; Angora wool</t>
  </si>
  <si>
    <t>Rajasthan State Woollen Industries Corp (RAJWOOL)</t>
  </si>
  <si>
    <t>Jaipur</t>
  </si>
  <si>
    <t>rajwool@rajasthan.gov.in</t>
  </si>
  <si>
    <t>Greasy wool &amp; wool tops exporter</t>
  </si>
  <si>
    <t>Bikaner Wool Cluster (De-haired wool &amp; tops)</t>
  </si>
  <si>
    <t>Bikaner region</t>
  </si>
  <si>
    <t>India’s largest raw wool &amp; tops export cluster</t>
  </si>
  <si>
    <t>~80% of India’s greasy wool exports</t>
  </si>
  <si>
    <t>Shree Ramkrishna Export (SRK) – Wool Tops</t>
  </si>
  <si>
    <t>srk@srkexports.com</t>
  </si>
  <si>
    <t>https://srkexports.com</t>
  </si>
  <si>
    <t>De-haired wool tops &amp; scoured wool exporter</t>
  </si>
  <si>
    <t>Wooltop Weaving Pvt Ltd</t>
  </si>
  <si>
    <t>info@wooltop.in</t>
  </si>
  <si>
    <t>Wool yarn &amp; tops exporter</t>
  </si>
  <si>
    <t>Himachal Wool Combers Ltd</t>
  </si>
  <si>
    <t>Shamshi, Kullu</t>
  </si>
  <si>
    <t>Angora &amp; Pashmina wool tops</t>
  </si>
  <si>
    <t>Indian Woollen Mills Federation (IWMF)</t>
  </si>
  <si>
    <t>Represents wool yarn &amp; fabric exporters</t>
  </si>
  <si>
    <t>Cotton Corporation of India (CCI) - HQ</t>
  </si>
  <si>
    <t>Chairman &amp; MD</t>
  </si>
  <si>
    <t>cci@cotcorp.com</t>
  </si>
  <si>
    <t>https://cotcorp.org.in</t>
  </si>
  <si>
    <t>Nodal agency for raw cotton procurement &amp; export</t>
  </si>
  <si>
    <t>Govt body for cotton MSP &amp; export</t>
  </si>
  <si>
    <t>2025-11-21T07:00:00Z</t>
  </si>
  <si>
    <t>Textiles Committee – Cotton Testing &amp; RCMC</t>
  </si>
  <si>
    <t>secy.texcom@nic.in</t>
  </si>
  <si>
    <t>https://textilescommittee.nic.in</t>
  </si>
  <si>
    <t>RCMC Issuing Authority for cotton yarn &amp; fabric</t>
  </si>
  <si>
    <t>Cotton Association of India (CAI)</t>
  </si>
  <si>
    <t>cai@caionline.in</t>
  </si>
  <si>
    <t>https://caionline.in</t>
  </si>
  <si>
    <t>Apex body for cotton trade &amp; export</t>
  </si>
  <si>
    <t>Gujarat Cotton Corporation (State Govt)</t>
  </si>
  <si>
    <t>Largest raw cotton exporter state</t>
  </si>
  <si>
    <t>~50% of India’s cotton exports</t>
  </si>
  <si>
    <t>Vardhman Textiles Ltd</t>
  </si>
  <si>
    <t>export@vardhman.com</t>
  </si>
  <si>
    <t>https://vardhman.com</t>
  </si>
  <si>
    <t>Largest cotton yarn exporter</t>
  </si>
  <si>
    <t>Trident Limited</t>
  </si>
  <si>
    <t>Barnala</t>
  </si>
  <si>
    <t>export@tridentindia.com</t>
  </si>
  <si>
    <t>https://tridentindia.com</t>
  </si>
  <si>
    <t>Barnala &amp; Budhni plants</t>
  </si>
  <si>
    <t>Cotton yarn &amp; terry towels exporter</t>
  </si>
  <si>
    <t>Nitin Spinners Ltd</t>
  </si>
  <si>
    <t>Bhilwara</t>
  </si>
  <si>
    <t>export@nitinspinners.com</t>
  </si>
  <si>
    <t>https://nitinspinners.com</t>
  </si>
  <si>
    <t>Hamirgarh, Bhilwara</t>
  </si>
  <si>
    <t>Cotton yarn &amp; knitted fabric exporter</t>
  </si>
  <si>
    <t>Nahar Spinning Mills Ltd</t>
  </si>
  <si>
    <t>export@owmnahar.com</t>
  </si>
  <si>
    <t>https://owmnahar.com</t>
  </si>
  <si>
    <t>Cotton yarn exporter</t>
  </si>
  <si>
    <t>KPR Mill Ltd</t>
  </si>
  <si>
    <t>export@kprmill.com</t>
  </si>
  <si>
    <t>https://kprmilllimited.com</t>
  </si>
  <si>
    <t>Cotton yarn &amp; garments exporter</t>
  </si>
  <si>
    <t>Welspun India Ltd – Cotton Yarn Division</t>
  </si>
  <si>
    <t>https://welspun.com</t>
  </si>
  <si>
    <t>Vapi &amp; Anjar plants</t>
  </si>
  <si>
    <t>Cotton yarn &amp; home textiles exporter</t>
  </si>
  <si>
    <t>Surat Cotton Yarn Cluster (Federation of Indian Exporters)</t>
  </si>
  <si>
    <t>Surat</t>
  </si>
  <si>
    <t>World’s largest cotton yarn export cluster</t>
  </si>
  <si>
    <t>Coimbatore Cotton Yarn Cluster</t>
  </si>
  <si>
    <t>Coimbatore / Tirupur</t>
  </si>
  <si>
    <t>Major cotton yarn &amp; fabric cluster</t>
  </si>
  <si>
    <t>Directorate of Cotton Development</t>
  </si>
  <si>
    <t>https://dac.gov.in</t>
  </si>
  <si>
    <t>Cotton development &amp; export promotion</t>
  </si>
  <si>
    <t>National Jute Board (NJB)</t>
  </si>
  <si>
    <t>njb@njbindia.org</t>
  </si>
  <si>
    <t>https://jute.com</t>
  </si>
  <si>
    <t>Nodal body for jute promotion &amp; export</t>
  </si>
  <si>
    <t>2025-11-21T08:00:00Z</t>
  </si>
  <si>
    <t>Indian Jute Industries’ Research Association (IJIRA)</t>
  </si>
  <si>
    <t>ijira@ijira.org</t>
  </si>
  <si>
    <t>https://ijira.org</t>
  </si>
  <si>
    <t>R&amp;D and testing for jute export quality</t>
  </si>
  <si>
    <t>Jute Corporation of India (JCI)</t>
  </si>
  <si>
    <t>jci@jci.gov.in</t>
  </si>
  <si>
    <t>https://jci.gov.in</t>
  </si>
  <si>
    <t>Raw jute procurement &amp; export</t>
  </si>
  <si>
    <t>Govt MSP agency for jute</t>
  </si>
  <si>
    <t>Gloster Limited</t>
  </si>
  <si>
    <t>gloster@glosterjute.com</t>
  </si>
  <si>
    <t>https://glosterjute.com</t>
  </si>
  <si>
    <t>Kolkata &amp; Bauria mills</t>
  </si>
  <si>
    <t>Largest jute sacking &amp; hessian exporter</t>
  </si>
  <si>
    <t>Birla Jute &amp; Industries Ltd (Birla Corporation)</t>
  </si>
  <si>
    <t>https://birlacorporation.com</t>
  </si>
  <si>
    <t>Kolkata &amp; Birlapur mills</t>
  </si>
  <si>
    <t>Jute sacking, bags, yarn exporter</t>
  </si>
  <si>
    <t>Ludlow Jute &amp; Specialities Ltd</t>
  </si>
  <si>
    <t>info@ludlowjute.com</t>
  </si>
  <si>
    <t>https://ludlowjute.com</t>
  </si>
  <si>
    <t>Diversified jute products exporter</t>
  </si>
  <si>
    <t>AI Champdany Industries Ltd</t>
  </si>
  <si>
    <t>https://aichampdany.com</t>
  </si>
  <si>
    <t>Jute yarn &amp; geo-textiles exporter</t>
  </si>
  <si>
    <t>Cheviot Company Ltd</t>
  </si>
  <si>
    <t>https://cheviotjute.com</t>
  </si>
  <si>
    <t>Premium jute yarn &amp; fabric exporter</t>
  </si>
  <si>
    <t>Murlidhar Ratanlal Exports Ltd</t>
  </si>
  <si>
    <t>mrlexports@mrljute.com</t>
  </si>
  <si>
    <t>https://mrljute.com</t>
  </si>
  <si>
    <t>Jute shopping bags &amp; decorative items exporter</t>
  </si>
  <si>
    <t>Kolkata Jute Cluster (Howrah, Hooghly, North 24 Pgs)</t>
  </si>
  <si>
    <t>Kolkata &amp; surrounding districts</t>
  </si>
  <si>
    <t>World’s largest jute goods cluster</t>
  </si>
  <si>
    <t>~70% of global jute goods production</t>
  </si>
  <si>
    <t>Jute Manufacturers Development Council (JMDC)</t>
  </si>
  <si>
    <t>Promotes jute diversification &amp; exports</t>
  </si>
  <si>
    <t>Synthetic &amp; Rayon Textiles Export Promotion Council (SRTEPC)</t>
  </si>
  <si>
    <t>info@srtepc.in</t>
  </si>
  <si>
    <t>https://srtepc.in</t>
  </si>
  <si>
    <t>RCMC Issuing Authority for Chapter 54</t>
  </si>
  <si>
    <t>Apex body for man-made filament exports</t>
  </si>
  <si>
    <t>2025-11-21T09:00:00Z</t>
  </si>
  <si>
    <t>Reliance Industries Ltd – Polyester Filament Yarn (PFY)</t>
  </si>
  <si>
    <t>Head (Petchem Exports)</t>
  </si>
  <si>
    <t>https://ril.com</t>
  </si>
  <si>
    <t>Multiple plants (Patalganga, Silvassa, Dahej, Hazira)</t>
  </si>
  <si>
    <t>World’s largest polyester filament producer &amp; exporter</t>
  </si>
  <si>
    <t>Indorama Ventures – PFY &amp; Texturised Yarn</t>
  </si>
  <si>
    <t>https://indoramaventures.com</t>
  </si>
  <si>
    <t>Nagpur plant</t>
  </si>
  <si>
    <t>Polyester filament &amp; texturised yarn exporter</t>
  </si>
  <si>
    <t>Garden Silk Mills (Alok Industries)</t>
  </si>
  <si>
    <t>export@alokind.com</t>
  </si>
  <si>
    <t>https://alokind.com</t>
  </si>
  <si>
    <t>Viscose &amp; polyester filament yarn exporter</t>
  </si>
  <si>
    <t>Filatex India Ltd</t>
  </si>
  <si>
    <t>Dadra &amp; Nagar Haveli</t>
  </si>
  <si>
    <t>Silvassa</t>
  </si>
  <si>
    <t>export@filatex.com</t>
  </si>
  <si>
    <t>https://filatex.com</t>
  </si>
  <si>
    <t>Silvassa &amp; Dahej plants</t>
  </si>
  <si>
    <t>Polyester &amp; PP filament yarn exporter</t>
  </si>
  <si>
    <t>Bhilosa Industries Pvt Ltd</t>
  </si>
  <si>
    <t>https://bhilosa.com</t>
  </si>
  <si>
    <t>Largest single-location PFY producer in India</t>
  </si>
  <si>
    <t>JBF Industries Ltd</t>
  </si>
  <si>
    <t>https://jbfindia.com</t>
  </si>
  <si>
    <t>Surat &amp; Silvassa plants</t>
  </si>
  <si>
    <t>Polyester filament yarn exporter</t>
  </si>
  <si>
    <t>Wellknown Polyesters Ltd</t>
  </si>
  <si>
    <t>Polyester texturised &amp; twisted yarn exporter</t>
  </si>
  <si>
    <t>Surat Man-made Filament Cluster</t>
  </si>
  <si>
    <t>World’s largest man-made filament yarn cluster</t>
  </si>
  <si>
    <t>~70% of India’s PFY &amp; texturised yarn exports</t>
  </si>
  <si>
    <t>Association of Synthetic Fibre Industry (ASFI)</t>
  </si>
  <si>
    <t>https://asfi.in</t>
  </si>
  <si>
    <t>Represents polyester &amp; nylon filament producers</t>
  </si>
  <si>
    <t>Resham Bhavan, 78 Veer Nariman Road, Mumbai - 400020</t>
  </si>
  <si>
    <t>RCMC Issuing Authority for Chapter 55</t>
  </si>
  <si>
    <t>Apex body for man-made staple fibre exports</t>
  </si>
  <si>
    <t>2025-11-21T10:00:00Z</t>
  </si>
  <si>
    <t>Reliance Industries Ltd – Polyester Staple Fibre (PSF)</t>
  </si>
  <si>
    <t>Surat / Vadodara</t>
  </si>
  <si>
    <t>Plants at Dahej, Vadodara, Surat, Patalganga</t>
  </si>
  <si>
    <t>World’s largest PSF producer &amp; exporter</t>
  </si>
  <si>
    <t>Indorama Ventures – PSF &amp; Acrylic Fibre</t>
  </si>
  <si>
    <t>PSF &amp; acrylic staple fibre exporter</t>
  </si>
  <si>
    <t>Vardhman Acrylics Ltd</t>
  </si>
  <si>
    <t>Jalandhar</t>
  </si>
  <si>
    <t>Bharuch (Gujarat) plant</t>
  </si>
  <si>
    <t>Acrylic staple fibre exporter</t>
  </si>
  <si>
    <t>Pasupati Acrylon Ltd</t>
  </si>
  <si>
    <t>Moradabad</t>
  </si>
  <si>
    <t>https://pasupatiacrylon.com</t>
  </si>
  <si>
    <t>Thakurdwara, Moradabad</t>
  </si>
  <si>
    <t>Indian Acrylics Ltd</t>
  </si>
  <si>
    <t>https://indianacrylics.com</t>
  </si>
  <si>
    <t>Grasim Industries Ltd (Aditya Birla) – Viscose Staple Fibre (VSF)</t>
  </si>
  <si>
    <t>Nagda</t>
  </si>
  <si>
    <t>https://grasim.com</t>
  </si>
  <si>
    <t>Nagda, Kharach, Harihar plants</t>
  </si>
  <si>
    <t>Largest viscose staple fibre exporter</t>
  </si>
  <si>
    <t>Bombay Dyeing – Polyester Staple Fibre</t>
  </si>
  <si>
    <t>https://bombaydyeing.com</t>
  </si>
  <si>
    <t>Patalganga plant</t>
  </si>
  <si>
    <t>PSF exporter</t>
  </si>
  <si>
    <t>Recron (Malaysia) India – PSF</t>
  </si>
  <si>
    <t>Part of Reliance group</t>
  </si>
  <si>
    <t>Polyester staple fibre exporter</t>
  </si>
  <si>
    <t>Surat Man-made Staple Fibre Cluster</t>
  </si>
  <si>
    <t>Major PSF &amp; VSF trading &amp; export cluster</t>
  </si>
  <si>
    <t>Represents PSF, VSF &amp; acrylic fibre producers</t>
  </si>
  <si>
    <t>RCMC Issuing Authority for nonwovens</t>
  </si>
  <si>
    <t>Apex body for nonwoven exports</t>
  </si>
  <si>
    <t>2025-11-21T11:00:00Z</t>
  </si>
  <si>
    <t>Association of Indian Nonwoven Industries (AINI)</t>
  </si>
  <si>
    <t>info@nonwovensindia.com</t>
  </si>
  <si>
    <t>https://nonwovensindia.com</t>
  </si>
  <si>
    <t>Represents nonwoven producers &amp; exporters</t>
  </si>
  <si>
    <t>Ginni Filaments Ltd</t>
  </si>
  <si>
    <t>Haridwar</t>
  </si>
  <si>
    <t>export@ginnifilaments.com</t>
  </si>
  <si>
    <t>https://ginnifilaments.com</t>
  </si>
  <si>
    <t>Mathura &amp; Haridwar plants</t>
  </si>
  <si>
    <t>Largest spunlace nonwoven exporter</t>
  </si>
  <si>
    <t>Pakona Engineers (India) Pvt Ltd – Nonwoven Bags</t>
  </si>
  <si>
    <t>export@pakona.com</t>
  </si>
  <si>
    <t>https://pakona.com</t>
  </si>
  <si>
    <t>Mumbai &amp; Daman</t>
  </si>
  <si>
    <t>Nonwoven carry bags &amp; hygiene products</t>
  </si>
  <si>
    <t>Favourite Fab</t>
  </si>
  <si>
    <t>export@favouritefab.com</t>
  </si>
  <si>
    <t>https://favouritefab.com</t>
  </si>
  <si>
    <t>Delhi NCR</t>
  </si>
  <si>
    <t>Spunbond nonwoven fabric &amp; bags exporter</t>
  </si>
  <si>
    <t>Shri Vishnu Non Woven</t>
  </si>
  <si>
    <t>Spunbond &amp; meltblown nonwoven exporter</t>
  </si>
  <si>
    <t>Health Guard Nonwoven (HG Nonwoven)</t>
  </si>
  <si>
    <t>export@hgnonwoven.com</t>
  </si>
  <si>
    <t>https://hgnonwoven.com</t>
  </si>
  <si>
    <t>Medical &amp; hygiene nonwovens exporter</t>
  </si>
  <si>
    <t>Daman Nonwoven Cluster</t>
  </si>
  <si>
    <t>Dadra &amp; Nagar Haveli and Daman &amp; Diu</t>
  </si>
  <si>
    <t>Daman</t>
  </si>
  <si>
    <t>Daman &amp; Silvassa region</t>
  </si>
  <si>
    <t>Major spunbond &amp; needle-punch nonwoven cluster</t>
  </si>
  <si>
    <t>Ahmedabad Nonwoven Cluster</t>
  </si>
  <si>
    <t>Ahmedabad &amp; Sanand</t>
  </si>
  <si>
    <t>Growing nonwoven hygiene &amp; medical cluster</t>
  </si>
  <si>
    <t>Technical Textile Development Centre (under SASMIRA)</t>
  </si>
  <si>
    <t>https://sasmira.org</t>
  </si>
  <si>
    <t>Sasmira Marg, Worli, Mumbai</t>
  </si>
  <si>
    <t>Testing &amp; training for nonwoven export quality</t>
  </si>
  <si>
    <t>Carpet Export Promotion Council (CEPC)</t>
  </si>
  <si>
    <t>info@cepc.co.in</t>
  </si>
  <si>
    <t>https://cepc.co.in</t>
  </si>
  <si>
    <t>Noida (HQ) &amp; regional offices</t>
  </si>
  <si>
    <t>RCMC Issuing Authority for Chapter 57</t>
  </si>
  <si>
    <t>Apex body for Indian carpet exports</t>
  </si>
  <si>
    <t>2025-11-21T12:00:00Z</t>
  </si>
  <si>
    <t>CEPC Regional Office Bhadohi</t>
  </si>
  <si>
    <t>Bhadohi</t>
  </si>
  <si>
    <t>cepcbhadohi@cepc.co.in</t>
  </si>
  <si>
    <t>Supports world’s largest hand-knotted carpet cluster</t>
  </si>
  <si>
    <t>Obeetee Carpets</t>
  </si>
  <si>
    <t>Mirzapur</t>
  </si>
  <si>
    <t>export@obeetee.com</t>
  </si>
  <si>
    <t>https://obeetee.com</t>
  </si>
  <si>
    <t>One of India’s oldest &amp; largest hand-knotted exporters</t>
  </si>
  <si>
    <t>Jaipur Rugs</t>
  </si>
  <si>
    <t>export@jaipurrugs.com</t>
  </si>
  <si>
    <t>https://jaipurrugs.com</t>
  </si>
  <si>
    <t>Largest hand-knotted wool &amp; silk carpet exporter</t>
  </si>
  <si>
    <t>Sharda Exports</t>
  </si>
  <si>
    <t>info@shardaexports.net</t>
  </si>
  <si>
    <t>https://shardaexports.net</t>
  </si>
  <si>
    <t>Top hand-knotted &amp; hand-tufted exporter</t>
  </si>
  <si>
    <t>Kashyam (Kashmir Arts)</t>
  </si>
  <si>
    <t>Jammu &amp; Kashmir</t>
  </si>
  <si>
    <t>Srinagar</t>
  </si>
  <si>
    <t>https://kashyam.com</t>
  </si>
  <si>
    <t>Pure silk &amp; silk-wool Kashmiri carpets exporter</t>
  </si>
  <si>
    <t>M J Exports (Agra Carpets)</t>
  </si>
  <si>
    <t>Agra</t>
  </si>
  <si>
    <t>Hand-knotted &amp; tufted carpets exporter</t>
  </si>
  <si>
    <t>Rugsotic Carpets</t>
  </si>
  <si>
    <t>https://rugsotic.com</t>
  </si>
  <si>
    <t>Hand-knotted &amp; modern rugs exporter</t>
  </si>
  <si>
    <t>Bhadohi-Mirzapur Carpet Cluster</t>
  </si>
  <si>
    <t>Bhadohi / Mirzapur</t>
  </si>
  <si>
    <t>Bhadohi, Mirzapur, Varanasi region</t>
  </si>
  <si>
    <t>World’s largest hand-knotted carpet cluster</t>
  </si>
  <si>
    <t>~90% of India’s carpet exports</t>
  </si>
  <si>
    <t>Panipat Tufted &amp; Machine-made Carpet Cluster</t>
  </si>
  <si>
    <t>Panipat</t>
  </si>
  <si>
    <t>Tufted &amp; machine-made carpets exporter cluster</t>
  </si>
  <si>
    <t>Indian Institute of Carpet Technology (IICT) – Bhadohi</t>
  </si>
  <si>
    <t>iictbhadohi@gmail.com</t>
  </si>
  <si>
    <t>https://iict.ac.in</t>
  </si>
  <si>
    <t>Training &amp; design centre for carpet export quality</t>
  </si>
  <si>
    <t>Textiles Committee – RCMC for Chapter 58</t>
  </si>
  <si>
    <t>RCMC Issuing Authority for special woven fabrics, lace, embroidery</t>
  </si>
  <si>
    <t>Handles RCMC for Chapter 58</t>
  </si>
  <si>
    <t>Powerloom Development &amp; Export Promotion Council (PDEXCIL)</t>
  </si>
  <si>
    <t>info@pdexcil.org</t>
  </si>
  <si>
    <t>https://pdexcil.org</t>
  </si>
  <si>
    <t>Promotes powerloom fabrics including Chapter 58</t>
  </si>
  <si>
    <t>Banaras Brocade &amp; Saree Cluster</t>
  </si>
  <si>
    <t>World-famous handloom brocade &amp; embroidery exporter</t>
  </si>
  <si>
    <t>Banarasi silk brocade with zari</t>
  </si>
  <si>
    <t>Surat Zari &amp; Embroidery Cluster</t>
  </si>
  <si>
    <t>Metallic yarn fabrics &amp; embroidery exporter</t>
  </si>
  <si>
    <t>Largest producer of imitation zari</t>
  </si>
  <si>
    <t>Himroo &amp; Amru Brocade (Aurangabad)</t>
  </si>
  <si>
    <t>Traditional silk-cotton brocade exporter</t>
  </si>
  <si>
    <t>Prakash Narrow Fabrics</t>
  </si>
  <si>
    <t>export@prakashnarrow.com</t>
  </si>
  <si>
    <t>Labels, badges, elastic tapes exporter</t>
  </si>
  <si>
    <t>Premco Global Ltd</t>
  </si>
  <si>
    <t>export@premcoglobal.com</t>
  </si>
  <si>
    <t>https://premcoglobal.com</t>
  </si>
  <si>
    <t>Mumbai &amp; Vapi plants</t>
  </si>
  <si>
    <t>Narrow woven fabrics &amp; elastic exporter</t>
  </si>
  <si>
    <t>Swastik Narrow Fabrics</t>
  </si>
  <si>
    <t>Woven labels &amp; tapes exporter</t>
  </si>
  <si>
    <t>Swastika International</t>
  </si>
  <si>
    <t>Embroidery &amp; lace exporter</t>
  </si>
  <si>
    <t>National Institute of Fashion Technology (NIFT) – Textile Design Dept</t>
  </si>
  <si>
    <t>https://nift.ac.in</t>
  </si>
  <si>
    <t>Multiple campuses (Delhi, Mumbai, Bengaluru)</t>
  </si>
  <si>
    <t>Training in special woven &amp; embroidered fabrics</t>
  </si>
  <si>
    <t>RCMC Issuing Authority for Chapter 59</t>
  </si>
  <si>
    <t>Apex body for coated/laminated textile exports</t>
  </si>
  <si>
    <t>2025-11-21T14:00:00Z</t>
  </si>
  <si>
    <t>Technical Textiles Association of India (TTAI)</t>
  </si>
  <si>
    <t>https://technicaltextiles.gov.in</t>
  </si>
  <si>
    <t>Promotes industrial &amp; coated fabrics exports</t>
  </si>
  <si>
    <t>Garware Technical Fibres Ltd (formerly Garware-Wall Ropes)</t>
  </si>
  <si>
    <t>export@garwarefibres.com</t>
  </si>
  <si>
    <t>https://garwarefibres.com</t>
  </si>
  <si>
    <t>Largest coated fabrics &amp; geo-synthetics exporter</t>
  </si>
  <si>
    <t>PVC coated polyester fabrics for truck covers, tents</t>
  </si>
  <si>
    <t>SRF Limited – Technical Textiles Division</t>
  </si>
  <si>
    <t>export@srf.com</t>
  </si>
  <si>
    <t>https://srf.com</t>
  </si>
  <si>
    <t>Manesar &amp; other plants</t>
  </si>
  <si>
    <t>Belting fabrics, coated fabrics exporter</t>
  </si>
  <si>
    <t>Responsive Industries Ltd</t>
  </si>
  <si>
    <t>export@responsiveindustries.com</t>
  </si>
  <si>
    <t>https://responsiveindustries.com</t>
  </si>
  <si>
    <t>Mumbai &amp; Raigad plants</t>
  </si>
  <si>
    <t>Vinyl (PVC) flooring &amp; coated fabrics exporter</t>
  </si>
  <si>
    <t>Mehler Texnologies India Pvt Ltd (German JV)</t>
  </si>
  <si>
    <t>https://mehler-texnologies.com</t>
  </si>
  <si>
    <t>Sanand, Ahmedabad</t>
  </si>
  <si>
    <t>High-end coated fabrics for architecture &amp; trucks</t>
  </si>
  <si>
    <t>Kusumgar Corporates</t>
  </si>
  <si>
    <t>export@kusumgar.com</t>
  </si>
  <si>
    <t>https://kusumgar.com</t>
  </si>
  <si>
    <t>Mumbai &amp; Silvassa plants</t>
  </si>
  <si>
    <t>Book-binding cloth &amp; industrial coated fabrics</t>
  </si>
  <si>
    <t>Polycoat Fabrics Pvt Ltd</t>
  </si>
  <si>
    <t>PU &amp; PVC coated fabrics exporter</t>
  </si>
  <si>
    <t>Harshdeep Industries</t>
  </si>
  <si>
    <t>Coated fabrics for inflatable &amp; medical use</t>
  </si>
  <si>
    <t>Daman-Silvassa Coated Fabrics Cluster</t>
  </si>
  <si>
    <t>Daman/Silvassa</t>
  </si>
  <si>
    <t>Daman &amp; Silvassa</t>
  </si>
  <si>
    <t>Major coated &amp; laminated fabrics export cluster</t>
  </si>
  <si>
    <t>Centre of Excellence for Technical Textiles (COETEX) – SASMIRA</t>
  </si>
  <si>
    <t>Testing &amp; training for coated/industrial fabrics</t>
  </si>
  <si>
    <t>RCMC Issuing Authority for Chapter 60</t>
  </si>
  <si>
    <t>Apex body for knitted/crocheted fabric exports</t>
  </si>
  <si>
    <t>2025-11-21T15:00:00Z</t>
  </si>
  <si>
    <t>Tirupur Export Knitwear Cluster (TEA – Tirupur Exporters Association)</t>
  </si>
  <si>
    <t>Tirupur</t>
  </si>
  <si>
    <t>tea@tirupurexporters.com</t>
  </si>
  <si>
    <t>https://tirupurexporters.com</t>
  </si>
  <si>
    <t>World’s largest knit fabric &amp; garment cluster</t>
  </si>
  <si>
    <t>Pratibha Syntex Ltd</t>
  </si>
  <si>
    <t>export@pratibhasyntex.com</t>
  </si>
  <si>
    <t>https://pratibhasyntex.com</t>
  </si>
  <si>
    <t>Pithampur &amp; Indore plants</t>
  </si>
  <si>
    <t>Largest knitted fabric exporter (organic &amp; recycled)</t>
  </si>
  <si>
    <t>Nahar Industrial Enterprises Ltd – Knit Fabrics</t>
  </si>
  <si>
    <t>Cotton &amp; blended knit fabrics exporter</t>
  </si>
  <si>
    <t>Pioneer Embroideries Ltd</t>
  </si>
  <si>
    <t>export@pioneerembroideries.com</t>
  </si>
  <si>
    <t>https://pioneerembroideries.com</t>
  </si>
  <si>
    <t>Mumbai &amp; Himachal plants</t>
  </si>
  <si>
    <t>Raschel lace &amp; knitted fabrics exporter</t>
  </si>
  <si>
    <t>BKS Textiles Pvt Ltd</t>
  </si>
  <si>
    <t>export@bks-textiles.com</t>
  </si>
  <si>
    <t>https://bks-textiles.com</t>
  </si>
  <si>
    <t>Single jersey, interlock, fleece exporter</t>
  </si>
  <si>
    <t>Alok Industries Ltd – Knit Division</t>
  </si>
  <si>
    <t>Knitted fabrics &amp; integrated garments exporter</t>
  </si>
  <si>
    <t>Shahi Exports Pvt Ltd – Knit Fabric Division</t>
  </si>
  <si>
    <t>https://shahi.co.in</t>
  </si>
  <si>
    <t>Multiple knit units in Karnataka &amp; Tamil Nadu</t>
  </si>
  <si>
    <t>In-house knit fabric for garment exports</t>
  </si>
  <si>
    <t>India’s largest apparel exporter (uses own knit fabric)</t>
  </si>
  <si>
    <t>Tirupur Knit Fabric Cluster</t>
  </si>
  <si>
    <t>World’s largest knitted fabric cluster</t>
  </si>
  <si>
    <t>~80% of India’s knit fabric exports</t>
  </si>
  <si>
    <t>Ludhiana Knit Fabric Cluster</t>
  </si>
  <si>
    <t>Wool &amp; cotton knit fabric cluster</t>
  </si>
  <si>
    <t>South India Textile Research Association (SITRA) – Knitting Division</t>
  </si>
  <si>
    <t>sitra@vsnl.net</t>
  </si>
  <si>
    <t>https://sitra.org.in</t>
  </si>
  <si>
    <t>Testing &amp; training for knitted fabrics</t>
  </si>
  <si>
    <t>Apparel Export Promotion Council (AEPC)</t>
  </si>
  <si>
    <t>info@aepcindia.com</t>
  </si>
  <si>
    <t>https://aepcindia.com</t>
  </si>
  <si>
    <t>Gurgaon &amp; regional offices</t>
  </si>
  <si>
    <t>RCMC Issuing Authority for Chapter 61 &amp; 62</t>
  </si>
  <si>
    <t>Apex body for apparel exports</t>
  </si>
  <si>
    <t>2025-11-21T16:00:00Z</t>
  </si>
  <si>
    <t>Tirupur Exporters Association (TEA)</t>
  </si>
  <si>
    <t>World’s largest knitwear export cluster</t>
  </si>
  <si>
    <t>Shahi Exports Pvt Ltd</t>
  </si>
  <si>
    <t>info@shahi.co.in</t>
  </si>
  <si>
    <t>Multiple factories (Karnataka, TN, Delhi NCR)</t>
  </si>
  <si>
    <t>India’s largest apparel exporter (knitted &amp; woven)</t>
  </si>
  <si>
    <t>Supplies H&amp;M, Walmart, Uniqlo, Gap</t>
  </si>
  <si>
    <t>Gokaldas Exports Ltd</t>
  </si>
  <si>
    <t>export@gokaldasexports.com</t>
  </si>
  <si>
    <t>https://gokaldasexports.com</t>
  </si>
  <si>
    <t>Bengaluru &amp; multiple units</t>
  </si>
  <si>
    <t>Large knitted T-shirt &amp; polo exporter</t>
  </si>
  <si>
    <t>Vertically integrated knitwear exporter</t>
  </si>
  <si>
    <t>Pithampur &amp; Indore</t>
  </si>
  <si>
    <t>Organic &amp; recycled knitted garments exporter</t>
  </si>
  <si>
    <t>Orient Craft Ltd</t>
  </si>
  <si>
    <t>export@orientcraft.com</t>
  </si>
  <si>
    <t>https://orientcraft.com</t>
  </si>
  <si>
    <t>Gurgaon &amp; Noida units</t>
  </si>
  <si>
    <t>Knitted &amp; woven apparel exporter</t>
  </si>
  <si>
    <t>Pearl Global Industries Ltd</t>
  </si>
  <si>
    <t>export@pearlglobal.com</t>
  </si>
  <si>
    <t>https://pearlglobal.com</t>
  </si>
  <si>
    <t>Gurgaon, Chennai, Bengaluru units</t>
  </si>
  <si>
    <t>Knitted T-shirts &amp; activewear exporter</t>
  </si>
  <si>
    <t>Eastman Exports Global Clothing Pvt Ltd</t>
  </si>
  <si>
    <t>export@eastmanexports.com</t>
  </si>
  <si>
    <t>https://eastmanexports.com</t>
  </si>
  <si>
    <t>Knitted garments exporter</t>
  </si>
  <si>
    <t>Tirupur Knitted Garment Cluster</t>
  </si>
  <si>
    <t>World’s largest knitted apparel cluster</t>
  </si>
  <si>
    <t>~90% of India’s knitted garment exports</t>
  </si>
  <si>
    <t>Ludhiana Knitwear Cluster</t>
  </si>
  <si>
    <t>Woollen &amp; cotton knitted garments cluster</t>
  </si>
  <si>
    <t>National Institute of Fashion Technology (NIFT) – Apparel Design Dept</t>
  </si>
  <si>
    <t>Multiple campuses</t>
  </si>
  <si>
    <t>Training &amp; design for knitted apparel export quality</t>
  </si>
  <si>
    <t>Gurgaon (HQ) &amp; regional offices</t>
  </si>
  <si>
    <t>RCMC Issuing Authority for Chapter 62</t>
  </si>
  <si>
    <t>Apex body for all apparel exports</t>
  </si>
  <si>
    <t>2025-11-21T17:00:00Z</t>
  </si>
  <si>
    <t>Clothing Manufacturers Association of India (CMAI)</t>
  </si>
  <si>
    <t>info@cmai.in</t>
  </si>
  <si>
    <t>https://cmai.in</t>
  </si>
  <si>
    <t>Represents domestic &amp; export apparel manufacturers</t>
  </si>
  <si>
    <t>Factories in Karnataka, TN, Delhi NCR, etc.</t>
  </si>
  <si>
    <t>India’s largest apparel exporter (woven + knitted)</t>
  </si>
  <si>
    <t>Arvind Fashions Ltd (Arvind Brands)</t>
  </si>
  <si>
    <t>export@arvind.com</t>
  </si>
  <si>
    <t>https://arvindfashions.com</t>
  </si>
  <si>
    <t>Ahmedabad &amp; Bengaluru units</t>
  </si>
  <si>
    <t>Woven shirts &amp; denim exporter</t>
  </si>
  <si>
    <t>Own brands + contract manufacturing</t>
  </si>
  <si>
    <t>Raymond Ltd – Apparel Division</t>
  </si>
  <si>
    <t>Thane</t>
  </si>
  <si>
    <t>export@raymond.in</t>
  </si>
  <si>
    <t>https://raymond.in</t>
  </si>
  <si>
    <t>Thane &amp; multiple plants</t>
  </si>
  <si>
    <t>Suits, jackets, shirts exporter</t>
  </si>
  <si>
    <t>Large woven shirts &amp; trousers exporter</t>
  </si>
  <si>
    <t>Woven shirts, jackets, ladies wear exporter</t>
  </si>
  <si>
    <t>Richa &amp; Co (Richa Global)</t>
  </si>
  <si>
    <t>export@richaglobal.com</t>
  </si>
  <si>
    <t>https://richaglobal.com</t>
  </si>
  <si>
    <t>Woven garments exporter</t>
  </si>
  <si>
    <t>Woven &amp; knitted apparel exporter</t>
  </si>
  <si>
    <t>Noida Apparel Export Cluster (NAEC)</t>
  </si>
  <si>
    <t>Gautam Buddh Nagar</t>
  </si>
  <si>
    <t>naec@noidacluster.com</t>
  </si>
  <si>
    <t>https://naecindia.com</t>
  </si>
  <si>
    <t>Noida &amp; Greater Noida</t>
  </si>
  <si>
    <t>Largest woven apparel export cluster</t>
  </si>
  <si>
    <t>~30% of India’s apparel exports</t>
  </si>
  <si>
    <t>Bangalore Apparel Cluster</t>
  </si>
  <si>
    <t>High-value woven fashion exporter cluster</t>
  </si>
  <si>
    <t>National Institute of Fashion Technology (NIFT) – Fashion Design Dept</t>
  </si>
  <si>
    <t>Training &amp; design support for woven apparel exports</t>
  </si>
  <si>
    <t>Handloom Export Promotion Council (HEPC)</t>
  </si>
  <si>
    <t>hepc@hepcindia.com</t>
  </si>
  <si>
    <t>https://hepcindia.com</t>
  </si>
  <si>
    <t>RCMC Issuing Authority for handloom made-ups</t>
  </si>
  <si>
    <t>Apex body for handloom made-up exports</t>
  </si>
  <si>
    <t>2025-11-21T18:00:00Z</t>
  </si>
  <si>
    <t>RCMC for powerloom made-ups</t>
  </si>
  <si>
    <t>Welspun India Ltd</t>
  </si>
  <si>
    <t>export@welspun.com</t>
  </si>
  <si>
    <t>World’s largest terry towel &amp; bedsheet exporter</t>
  </si>
  <si>
    <t>Supplies Walmart, Target, IKEA</t>
  </si>
  <si>
    <t>Terry towels, bedsheets, bath mats exporter</t>
  </si>
  <si>
    <t>Himatsingka Linens (Himatsingka Seide)</t>
  </si>
  <si>
    <t>export@himatsingka.com</t>
  </si>
  <si>
    <t>https://himatsingka.com</t>
  </si>
  <si>
    <t>Bengaluru &amp; Hassan plants</t>
  </si>
  <si>
    <t>Premium bedsheets &amp; drapery exporter</t>
  </si>
  <si>
    <t>Supplies Pottery Barn, Macy’s</t>
  </si>
  <si>
    <t>Indo Count Industries Ltd</t>
  </si>
  <si>
    <t>Kolhapur</t>
  </si>
  <si>
    <t>export@indocount.com</t>
  </si>
  <si>
    <t>https://indocount.com</t>
  </si>
  <si>
    <t>Bedsheets &amp; quilt exporter</t>
  </si>
  <si>
    <t>GHCL Ltd – Home Textiles Division</t>
  </si>
  <si>
    <t>export@ghcl.co.in</t>
  </si>
  <si>
    <t>https://ghcl.co.in</t>
  </si>
  <si>
    <t>Bedsheets &amp; towels exporter</t>
  </si>
  <si>
    <t>Abhishek Industries (Trident) – Terry Towels</t>
  </si>
  <si>
    <t>Terry towels &amp; bath linen exporter</t>
  </si>
  <si>
    <t>Alok Industries Ltd – Home Textiles</t>
  </si>
  <si>
    <t>Bedsheets &amp; terry towels exporter</t>
  </si>
  <si>
    <t>Panipat Home Textiles Cluster</t>
  </si>
  <si>
    <t>World’s largest recycled cotton home textile cluster</t>
  </si>
  <si>
    <t>Blankets, throws, bath mats</t>
  </si>
  <si>
    <t>Solapur Terry Towel Cluster</t>
  </si>
  <si>
    <t>Traditional terry towel cluster</t>
  </si>
  <si>
    <t>Karur Home Textiles Cluster</t>
  </si>
  <si>
    <t>Table linen, kitchen linen, curtains exporter cluster</t>
  </si>
  <si>
    <t>Textiles Committee – Testing Labs</t>
  </si>
  <si>
    <t>Testing &amp; certification for made-up exports</t>
  </si>
  <si>
    <t>Council for Leather Exports (CLE) - Footwear Panel</t>
  </si>
  <si>
    <t>RCMC Issuing Authority for Chapter 64</t>
  </si>
  <si>
    <t>Apex body for footwear exports</t>
  </si>
  <si>
    <t>2025-11-21T19:00:00Z</t>
  </si>
  <si>
    <t>Council for Footwear Leather &amp; Accessories (CFLA)</t>
  </si>
  <si>
    <t>info@cfla.in</t>
  </si>
  <si>
    <t>https://cfla.in</t>
  </si>
  <si>
    <t>RCMC for non-leather footwear</t>
  </si>
  <si>
    <t>Handles sports &amp; rubber footwear RCMC</t>
  </si>
  <si>
    <t>Bata India Ltd</t>
  </si>
  <si>
    <t>export@bata.com</t>
  </si>
  <si>
    <t>https://bata.in</t>
  </si>
  <si>
    <t>Multiple plants (Batanagar, Faridabad, Hosur)</t>
  </si>
  <si>
    <t>Largest leather &amp; non-leather footwear exporter</t>
  </si>
  <si>
    <t>Liberty Shoes Ltd</t>
  </si>
  <si>
    <t>export@libertyshoes.com</t>
  </si>
  <si>
    <t>https://libertyshoes.com</t>
  </si>
  <si>
    <t>Karnal &amp; multiple plants</t>
  </si>
  <si>
    <t>Leather &amp; sports footwear exporter</t>
  </si>
  <si>
    <t>Relaxo Footwears Ltd</t>
  </si>
  <si>
    <t>export@relaxofootwear.com</t>
  </si>
  <si>
    <t>https://relaxofootwear.com</t>
  </si>
  <si>
    <t>Bahadurgarh &amp; Haridwar plants</t>
  </si>
  <si>
    <t>Largest rubber/PVC slipper exporter</t>
  </si>
  <si>
    <t>export@mirza.co.in</t>
  </si>
  <si>
    <t>Leather footwear exporter</t>
  </si>
  <si>
    <t>VKC Group (VKC Pride, Walkaroo)</t>
  </si>
  <si>
    <t>export@vkcgroup.com</t>
  </si>
  <si>
    <t>Kozhikode &amp; multiple Kerala plants</t>
  </si>
  <si>
    <t>Largest Hawaiian slipper &amp; rubber footwear exporter</t>
  </si>
  <si>
    <t>Khadim India Ltd</t>
  </si>
  <si>
    <t>export@khadims.com</t>
  </si>
  <si>
    <t>https://khadims.com</t>
  </si>
  <si>
    <t>Rubber &amp; PU footwear exporter</t>
  </si>
  <si>
    <t>Campus Activewear Ltd</t>
  </si>
  <si>
    <t>export@campusactivewear.com</t>
  </si>
  <si>
    <t>https://campusactivewear.com</t>
  </si>
  <si>
    <t>Delhi &amp; Dehradun plants</t>
  </si>
  <si>
    <t>Sports &amp; casual footwear exporter</t>
  </si>
  <si>
    <t>Agra Footwear Manufacturers &amp; Exporters Association (AFMEA)</t>
  </si>
  <si>
    <t>afmea@afmea.com</t>
  </si>
  <si>
    <t>https://afmea.com</t>
  </si>
  <si>
    <t>Largest leather footwear cluster</t>
  </si>
  <si>
    <t>Chennai-Ambur-Ranipet Footwear Cluster</t>
  </si>
  <si>
    <t>Ambur, Ranipet, Chennai region</t>
  </si>
  <si>
    <t>Major leather footwear export cluster</t>
  </si>
  <si>
    <t>Footwear Design &amp; Development Institute (FDDI) – Noida</t>
  </si>
  <si>
    <t>contact@fddiindia.com</t>
  </si>
  <si>
    <t>https://fddiindia.com</t>
  </si>
  <si>
    <t>Noida &amp; multiple campuses</t>
  </si>
  <si>
    <t>Training &amp; testing for footwear export quality</t>
  </si>
  <si>
    <t>EPCH House, Vasant Kunj, New Delhi - 110070</t>
  </si>
  <si>
    <t>RCMC for handicraft headgear (wool, straw, etc.)</t>
  </si>
  <si>
    <t>Handles most handicraft hats &amp; caps</t>
  </si>
  <si>
    <t>2025-11-21T20:00:00Z</t>
  </si>
  <si>
    <t>Apparel Export Promotion Council (AEPC) – Headgear Division</t>
  </si>
  <si>
    <t>RCMC for textile caps &amp; hats</t>
  </si>
  <si>
    <t>For knitted/woven caps</t>
  </si>
  <si>
    <t>Bharat Caps &amp; Headwears</t>
  </si>
  <si>
    <t>export@bharatcaps.com</t>
  </si>
  <si>
    <t>Mumbai &amp; Daman units</t>
  </si>
  <si>
    <t>Cotton &amp; polyester caps exporter</t>
  </si>
  <si>
    <t>Dynamic Caps Pvt Ltd</t>
  </si>
  <si>
    <t>https://dynamiccaps.com</t>
  </si>
  <si>
    <t>Promotional &amp; sports caps exporter</t>
  </si>
  <si>
    <t>Himachal Woollen Caps Cluster (Kullu Caps)</t>
  </si>
  <si>
    <t>Traditional woollen caps exporter</t>
  </si>
  <si>
    <t>Ludhiana Woollen Caps Cluster</t>
  </si>
  <si>
    <t>Knitted woollen caps exporter</t>
  </si>
  <si>
    <t>Kolkata Straw Hat Cluster</t>
  </si>
  <si>
    <t>Kolkata suburbs</t>
  </si>
  <si>
    <t>Straw &amp; jute hats exporter</t>
  </si>
  <si>
    <t>National Institute of Fashion Technology (NIFT) – Accessories Dept</t>
  </si>
  <si>
    <t>Training in headgear design &amp; export</t>
  </si>
  <si>
    <t>RCMC for handicraft umbrellas &amp; walking sticks</t>
  </si>
  <si>
    <t>Handles handicraft umbrellas</t>
  </si>
  <si>
    <t>2025-11-21T21:00:00Z</t>
  </si>
  <si>
    <t>Plastics Export Promotion Council (PLEXCONCIL)</t>
  </si>
  <si>
    <t>info@plexconcil.org</t>
  </si>
  <si>
    <t>https://plexconcil.org</t>
  </si>
  <si>
    <t>RCMC for plastic-handled &amp; promotional umbrellas</t>
  </si>
  <si>
    <t>For plastic/PVC umbrellas</t>
  </si>
  <si>
    <t>Umbrella Manufacturers Association of India</t>
  </si>
  <si>
    <t>Represents garden &amp; promotional umbrella exporters</t>
  </si>
  <si>
    <t>Garden Silk Mills – Umbrella Fabric &amp; Ready Umbrellas</t>
  </si>
  <si>
    <t>Garden &amp; promotional umbrellas exporter</t>
  </si>
  <si>
    <t>Maxwell Industries (VIP Umbrellas)</t>
  </si>
  <si>
    <t>export@vipindustries.com</t>
  </si>
  <si>
    <t>Mumbai &amp; Nashik plants</t>
  </si>
  <si>
    <t>Promotional &amp; garden umbrellas exporter</t>
  </si>
  <si>
    <t>Calcutta Umbrella Manufacturers</t>
  </si>
  <si>
    <t>Traditional &amp; promotional umbrellas exporter</t>
  </si>
  <si>
    <t>Bharat Umbrella Mart</t>
  </si>
  <si>
    <t>Garden &amp; beach umbrellas exporter</t>
  </si>
  <si>
    <t>Kolkata Handicraft Walking Stick Cluster</t>
  </si>
  <si>
    <t>Bamboo &amp; wooden walking sticks exporter</t>
  </si>
  <si>
    <t>Saharanpur Walking Stick Cluster</t>
  </si>
  <si>
    <t>Hand-carved wooden walking sticks exporter</t>
  </si>
  <si>
    <t>RCMC Issuing Authority for artificial flowers &amp; feather articles</t>
  </si>
  <si>
    <t>Apex body for Chapter 67 exports</t>
  </si>
  <si>
    <t>National Centre for Design &amp; Product Development (NCDPD)</t>
  </si>
  <si>
    <t>ncdpd@ncdpd.in</t>
  </si>
  <si>
    <t>https://ncdpd.in</t>
  </si>
  <si>
    <t>Okhla Phase-III, New Delhi</t>
  </si>
  <si>
    <t>Training in artificial flower making &amp; feather articles</t>
  </si>
  <si>
    <t>National Institute of Fashion Technology (NIFT) – Fashion Accessories Dept</t>
  </si>
  <si>
    <t>nift.ho@nift.ac.in</t>
  </si>
  <si>
    <t>NIFT Campus, Hauz Khas, New Delhi</t>
  </si>
  <si>
    <t>Training in artificial flower &amp; feather accessory design</t>
  </si>
  <si>
    <t>Kolkata Feather Cluster</t>
  </si>
  <si>
    <t>Cluster Head</t>
  </si>
  <si>
    <t>Processed feather &amp; down articles cluster</t>
  </si>
  <si>
    <t>Delhi Artificial Flower Cluster (Okhla)</t>
  </si>
  <si>
    <t>South Delhi</t>
  </si>
  <si>
    <t>Okhla Industrial Area</t>
  </si>
  <si>
    <t>Largest artificial flower &amp; foliage cluster</t>
  </si>
  <si>
    <t>Mumbai Feather Artisans Cooperative</t>
  </si>
  <si>
    <t>Dharavi</t>
  </si>
  <si>
    <t>Handcrafted feather articles cooperative</t>
  </si>
  <si>
    <t>Okhla Artificial Flower Women Cooperative</t>
  </si>
  <si>
    <t>Okhla Phase-II</t>
  </si>
  <si>
    <t>Women-led artificial flower cooperative</t>
  </si>
  <si>
    <t>Kerala Palm Leaf Flower Cooperative</t>
  </si>
  <si>
    <t>Natural palm leaf artificial flowers cooperative</t>
  </si>
  <si>
    <t>Feather India Exports</t>
  </si>
  <si>
    <t>info@featherindia.com</t>
  </si>
  <si>
    <t>Largest processed feather &amp; down article exporter</t>
  </si>
  <si>
    <t>Artificial Flowers India</t>
  </si>
  <si>
    <t>Okhla</t>
  </si>
  <si>
    <t>Top artificial flower &amp; foliage exporter</t>
  </si>
  <si>
    <t>Bloom Artifacts</t>
  </si>
  <si>
    <t>Artificial flower &amp; wedding decor exporter</t>
  </si>
  <si>
    <t>Evergreen Artificial Flowers</t>
  </si>
  <si>
    <t>Silk &amp; polyester artificial flower exporter</t>
  </si>
  <si>
    <t>Feather Touch Exports</t>
  </si>
  <si>
    <t>Feather boas &amp; decorative feather exporter</t>
  </si>
  <si>
    <t>CAPEXIL - Stones Panel</t>
  </si>
  <si>
    <t>Chairman (Stones)</t>
  </si>
  <si>
    <t>https://capexil.in</t>
  </si>
  <si>
    <t>Vandhna Building, 11 Tolstoy Marg, New Delhi - 110001</t>
  </si>
  <si>
    <t>RCMC Issuing Authority for all natural stones, granite, marble, sandstone (HS68)</t>
  </si>
  <si>
    <t>CAPEXIL Regional Office Jaipur</t>
  </si>
  <si>
    <t>jaipur@capexil.in</t>
  </si>
  <si>
    <t>301-B, Ganpati Plaza, M.I. Road, Jaipur - 302001</t>
  </si>
  <si>
    <t>Support for Rajasthan granite &amp; sandstone cluster</t>
  </si>
  <si>
    <t>Centre for Development of Stones (CDOS)</t>
  </si>
  <si>
    <t>info@cdos-india.com</t>
  </si>
  <si>
    <t>https://cdos-india.com</t>
  </si>
  <si>
    <t>SP-8, Phase IV, Sitapura Industrial Area, Jaipur - 302022</t>
  </si>
  <si>
    <t>Nodal govt body for stone sector development &amp; export promotion, Offers training &amp; testing labs</t>
  </si>
  <si>
    <t>All India Granites &amp; Stone Association (AIGSA)</t>
  </si>
  <si>
    <t>aigsa@aigsa.org</t>
  </si>
  <si>
    <t>https://aigsa.org</t>
  </si>
  <si>
    <t>3rd Floor, West Gate, M.G. Road, Bengaluru - 560001</t>
  </si>
  <si>
    <t>Represents South India granite exporters</t>
  </si>
  <si>
    <t>Indian Natural Stone Exporters Association (INSEA)</t>
  </si>
  <si>
    <t>Udaipur</t>
  </si>
  <si>
    <t>Marble &amp; sandstone exporters body</t>
  </si>
  <si>
    <t>Dimension Stone Technology Institute (DSTI - CDOS)</t>
  </si>
  <si>
    <t>Training in stone processing &amp; export quality</t>
  </si>
  <si>
    <t>Kishangarh Marble Cluster</t>
  </si>
  <si>
    <t>Ajmer</t>
  </si>
  <si>
    <t>Kishangarh</t>
  </si>
  <si>
    <t>World’s largest marble trading &amp; processing cluster</t>
  </si>
  <si>
    <t>Udaipur Marble Processors Samiti</t>
  </si>
  <si>
    <t>Green &amp; white marble exporters cluster</t>
  </si>
  <si>
    <t>Bangalore Granite Cluster</t>
  </si>
  <si>
    <t>Hosur Road</t>
  </si>
  <si>
    <t>Black granite exporters cluster</t>
  </si>
  <si>
    <t>R.K. Marble Pvt Ltd</t>
  </si>
  <si>
    <t>info@rkmarble.com</t>
  </si>
  <si>
    <t>https://rkmarble.com</t>
  </si>
  <si>
    <t>Kishangarh &amp; Udaipur units</t>
  </si>
  <si>
    <t>World’s largest marble processor &amp; exporter</t>
  </si>
  <si>
    <t>Stonex India Pvt Ltd</t>
  </si>
  <si>
    <t>info@stonexindia.com</t>
  </si>
  <si>
    <t>https://stonexindia.com</t>
  </si>
  <si>
    <t>New Delhi &amp; Kishangarh units</t>
  </si>
  <si>
    <t>Granite &amp; marble slabs exporter</t>
  </si>
  <si>
    <t>Pokarna Limited</t>
  </si>
  <si>
    <t>info@pokarna.com</t>
  </si>
  <si>
    <t>https://pokarna.com</t>
  </si>
  <si>
    <t>Secunderabad &amp; multiple units</t>
  </si>
  <si>
    <t>Largest granite (Quartz surfaces) exporter</t>
  </si>
  <si>
    <t>Asian Granito India Ltd</t>
  </si>
  <si>
    <t>info@asiangranito.com</t>
  </si>
  <si>
    <t>https://asiangranito.com</t>
  </si>
  <si>
    <t>Himmatnagar &amp; Dalpur units</t>
  </si>
  <si>
    <t>Engineered marble &amp; quartz exporter</t>
  </si>
  <si>
    <t>Madhav Marble &amp; Granite Ltd</t>
  </si>
  <si>
    <t>info@madhavmarble.com</t>
  </si>
  <si>
    <t>https://madhavmarble.com</t>
  </si>
  <si>
    <t>Udaipur &amp; Kishangarh</t>
  </si>
  <si>
    <t>Marble &amp; sandstone exporter</t>
  </si>
  <si>
    <t>Kishangarh Marble Cooperative Society</t>
  </si>
  <si>
    <t>Marble processing cooperative</t>
  </si>
  <si>
    <t>CAPEXIL - Ceramics &amp; Allied Products Panel</t>
  </si>
  <si>
    <t>Chairman (Ceramics)</t>
  </si>
  <si>
    <t>RCMC Issuing Authority for all HS69 items (tableware, sanitaryware, tiles, technical ceramics)</t>
  </si>
  <si>
    <t>CAPEXIL Regional Office Morbi</t>
  </si>
  <si>
    <t>morbi@capexil.in</t>
  </si>
  <si>
    <t>Morbi</t>
  </si>
  <si>
    <t>Support for world’s largest ceramic tile cluster</t>
  </si>
  <si>
    <t>Indian Council of Ceramic Tiles &amp; Sanitaryware (ICCTAS)</t>
  </si>
  <si>
    <t>info@icctas.com</t>
  </si>
  <si>
    <t>https://icctas.com</t>
  </si>
  <si>
    <t>806, Vishal Bhawan, Nehru Place, New Delhi - 110019</t>
  </si>
  <si>
    <t>National body for tiles &amp; sanitaryware exporters</t>
  </si>
  <si>
    <t>Morbi Ceramic Association (MCA)</t>
  </si>
  <si>
    <t>Represents 800+ ceramic units in Morbi cluster</t>
  </si>
  <si>
    <t>Khurja Pottery Manufacturers &amp; Exporters Association</t>
  </si>
  <si>
    <t>Bulandshahr</t>
  </si>
  <si>
    <t>Khurja</t>
  </si>
  <si>
    <t>Pottery &amp; ceramic tableware cluster body</t>
  </si>
  <si>
    <t>Central Glass &amp; Ceramic Research Institute (CGCRI)</t>
  </si>
  <si>
    <t>director@cgcri.res.in</t>
  </si>
  <si>
    <t>https://cgcri.res.in</t>
  </si>
  <si>
    <t>196 Raja S.C. Mullick Road, Kolkata - 700032</t>
  </si>
  <si>
    <t>CSIR lab for ceramic testing &amp; export quality training</t>
  </si>
  <si>
    <t>Sakti Ceramic Cluster</t>
  </si>
  <si>
    <t>Morbi-Wankaner area</t>
  </si>
  <si>
    <t>Largest wall &amp; floor tile cluster</t>
  </si>
  <si>
    <t>Khurja Ceramic Cooperative Society</t>
  </si>
  <si>
    <t>Ceramic tableware artisans cooperative</t>
  </si>
  <si>
    <t>Somany Ceramics Ltd</t>
  </si>
  <si>
    <t>info@somanyceramics.com</t>
  </si>
  <si>
    <t>https://somanyceramics.com</t>
  </si>
  <si>
    <t>Morbi &amp; multiple units</t>
  </si>
  <si>
    <t>Largest sanitaryware &amp; tile exporter</t>
  </si>
  <si>
    <t>Kajaria Ceramics Ltd</t>
  </si>
  <si>
    <t>info@kajariaceramics.com</t>
  </si>
  <si>
    <t>https://kajariaceramics.com</t>
  </si>
  <si>
    <t>India’s largest ceramic tile exporter</t>
  </si>
  <si>
    <t>HR Johnson (Prism Johnson)</t>
  </si>
  <si>
    <t>Multiple units</t>
  </si>
  <si>
    <t>Ceramic &amp; vitrified tile exporter</t>
  </si>
  <si>
    <t>Cera Sanitaryware Ltd</t>
  </si>
  <si>
    <t>info@cera-india.com</t>
  </si>
  <si>
    <t>https://cera-india.com</t>
  </si>
  <si>
    <t>Morbi &amp; other units</t>
  </si>
  <si>
    <t>Premium sanitaryware exporter</t>
  </si>
  <si>
    <t>Morbi units</t>
  </si>
  <si>
    <t>Large tile &amp; engineered marble exporter</t>
  </si>
  <si>
    <t>Jaquar &amp; Company - Ceramic Division</t>
  </si>
  <si>
    <t>Bhiwadi &amp; other units</t>
  </si>
  <si>
    <t>Sanitaryware &amp; tile exporter</t>
  </si>
  <si>
    <t>Khurja Pottery Cooperative</t>
  </si>
  <si>
    <t>Artisan ceramic tableware cooperative</t>
  </si>
  <si>
    <t>CAPEXIL - Glass &amp; Ceramics Panel</t>
  </si>
  <si>
    <t>Chairman (Glass)</t>
  </si>
  <si>
    <t>RCMC Issuing Authority for all glass &amp; glassware (HS70)</t>
  </si>
  <si>
    <t>CAPEXIL Regional Office Firozabad</t>
  </si>
  <si>
    <t>Firozabad</t>
  </si>
  <si>
    <t>firozabad@capexil.in</t>
  </si>
  <si>
    <t>Support for world’s largest glass bangle &amp; tableware cluster</t>
  </si>
  <si>
    <t>All India Glass Manufacturers’ Federation (AIGMF)</t>
  </si>
  <si>
    <t>aigmf@aigmf.in</t>
  </si>
  <si>
    <t>https://aigmf.in</t>
  </si>
  <si>
    <t>812 New Delhi House, Barakhamba Road, New Delhi - 110001</t>
  </si>
  <si>
    <t>National apex body for glass industry &amp; export promotion</t>
  </si>
  <si>
    <t>Firozabad Glass Industries Association</t>
  </si>
  <si>
    <t>Represents 400+ glass units (bangles, tableware, lamps)</t>
  </si>
  <si>
    <t>CSIR lab for glass testing &amp; export quality training</t>
  </si>
  <si>
    <t>Firozabad Glass Cluster</t>
  </si>
  <si>
    <t>World’s largest handmade glass bangle &amp; tableware cluster</t>
  </si>
  <si>
    <t>Borosil Limited</t>
  </si>
  <si>
    <t>Bharuch</t>
  </si>
  <si>
    <t>info@borosil.com</t>
  </si>
  <si>
    <t>https://borosil.com</t>
  </si>
  <si>
    <t>Bharuch &amp; Jaipur units</t>
  </si>
  <si>
    <t>Largest scientific &amp; consumer glassware exporter</t>
  </si>
  <si>
    <t>La Opala RG Ltd</t>
  </si>
  <si>
    <t>info@laopala.in</t>
  </si>
  <si>
    <t>https://laopala.in</t>
  </si>
  <si>
    <t>Madhupur &amp; Sitarganj units</t>
  </si>
  <si>
    <t>Largest opal glass tableware exporter</t>
  </si>
  <si>
    <t>Asahi India Glass Ltd (AIS)</t>
  </si>
  <si>
    <t>info@aisglass.com</t>
  </si>
  <si>
    <t>https://aisglass.com</t>
  </si>
  <si>
    <t>Multiple units (Roorkee, Chennai)</t>
  </si>
  <si>
    <t>Float &amp; automotive glass exporter</t>
  </si>
  <si>
    <t>Saint-Gobain India - Glass Division</t>
  </si>
  <si>
    <t>Kanchipuram</t>
  </si>
  <si>
    <t>Sriperumbudur</t>
  </si>
  <si>
    <t>Float &amp; mirror glass exporter</t>
  </si>
  <si>
    <t>Triveni Glass Ltd</t>
  </si>
  <si>
    <t>Prayagraj</t>
  </si>
  <si>
    <t>Allahabad</t>
  </si>
  <si>
    <t>Figured &amp; wired glass exporter</t>
  </si>
  <si>
    <t>Firozabad Glass Shell Cooperative Society</t>
  </si>
  <si>
    <t>Glass bangle &amp; shell artisans cooperative</t>
  </si>
  <si>
    <t>Firozabad Glass Bangle Women Cooperative</t>
  </si>
  <si>
    <t>Women-led glass bangle cooperative</t>
  </si>
  <si>
    <t>Gem &amp; Jewellery Export Promotion Council (GJEPC) - HQ</t>
  </si>
  <si>
    <t>info@gjepcindia.com</t>
  </si>
  <si>
    <t>https://gjepc.org</t>
  </si>
  <si>
    <t>Diamond Plaza, Dr D B Marg, Mumbai - 400004</t>
  </si>
  <si>
    <t>RCMC Issuing Authority for all diamonds, gems, gold &amp; silver jewellery (HS71)</t>
  </si>
  <si>
    <t>Apex body for gems &amp; jewellery exports</t>
  </si>
  <si>
    <t>GJEPC Regional Office Surat</t>
  </si>
  <si>
    <t>Regional Chairman</t>
  </si>
  <si>
    <t>surat@gjepcindia.com</t>
  </si>
  <si>
    <t>Surat Diamond Bhavan, Varachha Road, Surat - 395006</t>
  </si>
  <si>
    <t>Support for world’s largest diamond cutting cluster</t>
  </si>
  <si>
    <t>GJEPC Regional Office Jaipur</t>
  </si>
  <si>
    <t>jaipur@gjepcindia.com</t>
  </si>
  <si>
    <t>Rajasthan Chamber Bhawan, MI Road, Jaipur - 302003</t>
  </si>
  <si>
    <t>Support for coloured gemstones &amp; silver jewellery</t>
  </si>
  <si>
    <t>Indian Institute of Gems &amp; Jewellery (IIGJ) - Mumbai</t>
  </si>
  <si>
    <t>info@iigj.org</t>
  </si>
  <si>
    <t>https://iigj.org</t>
  </si>
  <si>
    <t>Andheri East, Mumbai - 400059</t>
  </si>
  <si>
    <t>Premier training in diamond grading, jewellery design &amp; export</t>
  </si>
  <si>
    <t>Gem Testing Laboratory (GTL) - Jaipur</t>
  </si>
  <si>
    <t>gtl@gov.in</t>
  </si>
  <si>
    <t>Govt lab for coloured gem certification &amp; export testing</t>
  </si>
  <si>
    <t>All India Gem &amp; Jewellery Domestic Council (GJC)</t>
  </si>
  <si>
    <t>info@gjc.org.in</t>
  </si>
  <si>
    <t>https://gjc.org.in</t>
  </si>
  <si>
    <t>Zaveri Bazaar, Mumbai - 400002</t>
  </si>
  <si>
    <t>Body for domestic &amp; export jewellery manufacturers</t>
  </si>
  <si>
    <t>Surat Diamond Association (SDA)</t>
  </si>
  <si>
    <t>Represents 5000+ diamond units</t>
  </si>
  <si>
    <t>Jaipur Jewellery Artisans Cooperative Society</t>
  </si>
  <si>
    <t>Kundan-meenakari &amp; gemstone jewellery cooperative</t>
  </si>
  <si>
    <t>Hari Krishna Exports Pvt Ltd</t>
  </si>
  <si>
    <t>info@hk.co</t>
  </si>
  <si>
    <t>https://hk.co</t>
  </si>
  <si>
    <t>World’s largest polished diamond exporter</t>
  </si>
  <si>
    <t>Kiran Gems Pvt Ltd</t>
  </si>
  <si>
    <t>Top polished diamond exporter</t>
  </si>
  <si>
    <t>Rajesh Exports Ltd</t>
  </si>
  <si>
    <t>info@rajeshindia.com</t>
  </si>
  <si>
    <t>https://rajeshindia.com</t>
  </si>
  <si>
    <t>World’s largest gold jewellery manufacturer &amp; exporter</t>
  </si>
  <si>
    <t>Malabar Gold &amp; Diamonds</t>
  </si>
  <si>
    <t>info@malabargold.com</t>
  </si>
  <si>
    <t>https://malabargold.com</t>
  </si>
  <si>
    <t>Kozhikode &amp; multiple units</t>
  </si>
  <si>
    <t>Large diamond &amp; gold jewellery exporter</t>
  </si>
  <si>
    <t>PC Jeweller Ltd</t>
  </si>
  <si>
    <t>Delhi &amp; Jaipur units</t>
  </si>
  <si>
    <t>Diamond &amp; gold jewellery exporter</t>
  </si>
  <si>
    <t>Dwarikesh Gems</t>
  </si>
  <si>
    <t>Coloured gemstone &amp; silver jewellery exporter</t>
  </si>
  <si>
    <t>Handicrafts &amp; Hand Tools Export Promotion Council (EPCH - Tools Division)</t>
  </si>
  <si>
    <t>RCMC for hand tools &amp; builder’s hardware</t>
  </si>
  <si>
    <t>Engineering Export Promotion Council (EEPC India)</t>
  </si>
  <si>
    <t>eepcho@eepcindia.net</t>
  </si>
  <si>
    <t>https://eepcindia.org</t>
  </si>
  <si>
    <t>Vandhna Building, 4th Floor, Tolstoy Marg, New Delhi - 110001</t>
  </si>
  <si>
    <t>RCMC for industrial hand tools &amp; power tools</t>
  </si>
  <si>
    <t>Hand Tools Association of India (HTAI)</t>
  </si>
  <si>
    <t>htai@handtoolsindia.org</t>
  </si>
  <si>
    <t>Represents 500+ hand tool units in Jalandhar cluster</t>
  </si>
  <si>
    <t>Nagaur Hand Tools Cluster</t>
  </si>
  <si>
    <t>Nagaur</t>
  </si>
  <si>
    <t>Nagaur-Makrana area</t>
  </si>
  <si>
    <t>Largest pliers &amp; spanners cluster</t>
  </si>
  <si>
    <t>Jalandhar Hand Tools Cluster</t>
  </si>
  <si>
    <t>Spanners, wrenches &amp; vices cluster</t>
  </si>
  <si>
    <t>National Institute of Design (NID) - Product Design Dept</t>
  </si>
  <si>
    <t>nid@nid.edu</t>
  </si>
  <si>
    <t>https://nid.edu</t>
  </si>
  <si>
    <t>Paldi, Ahmedabad - 380007</t>
  </si>
  <si>
    <t>Training in hand tool design &amp; ergonomics</t>
  </si>
  <si>
    <t>Taparia Tools Ltd</t>
  </si>
  <si>
    <t>info@tapariatools.com</t>
  </si>
  <si>
    <t>https://tapariatools.com</t>
  </si>
  <si>
    <t>Nashik &amp; multiple units</t>
  </si>
  <si>
    <t>India’s largest hand tool exporter (spanners, pliers)</t>
  </si>
  <si>
    <t>Eastern Tools Corporation</t>
  </si>
  <si>
    <t>Top spanners &amp; wrenches exporter</t>
  </si>
  <si>
    <t>Venus Industrial Corporation</t>
  </si>
  <si>
    <t>Pliers &amp; vices exporter</t>
  </si>
  <si>
    <t>Steelgrip Tools</t>
  </si>
  <si>
    <t>Pliers &amp; hammers exporter</t>
  </si>
  <si>
    <t>Ludiana Hand Tools Cooperative Society</t>
  </si>
  <si>
    <t>Hand tool artisans cooperative</t>
  </si>
  <si>
    <t>Nagaur Pliers Cooperative Society</t>
  </si>
  <si>
    <t>Pliers manufacturer cooperative</t>
  </si>
  <si>
    <t>Watch &amp; Clock Export Promotion Council (proposed under CAPEXIL)</t>
  </si>
  <si>
    <t>Chairman (proposed)</t>
  </si>
  <si>
    <t>RCMC for watches &amp; clocks currently under CAPEXIL/EEPC</t>
  </si>
  <si>
    <t>CAPEXIL - Electronics &amp; Engineering Panel</t>
  </si>
  <si>
    <t>Chairman (Engineering)</t>
  </si>
  <si>
    <t>RCMC Issuing Authority for watches, clocks &amp; parts (HS91)</t>
  </si>
  <si>
    <t>Electronics &amp; Computer Software EPC (ESC)</t>
  </si>
  <si>
    <t>info@escindia.in</t>
  </si>
  <si>
    <t>https://escindia.in</t>
  </si>
  <si>
    <t>RCMC for smart watches &amp; electronic timepieces</t>
  </si>
  <si>
    <t>All India Watch &amp; Clock Manufacturers Association</t>
  </si>
  <si>
    <t>Represents traditional watch assemblers &amp; exporters</t>
  </si>
  <si>
    <t>Titan Company Ltd (Watches Division)</t>
  </si>
  <si>
    <t>info@titan.co.in</t>
  </si>
  <si>
    <t>https://titan.co.in</t>
  </si>
  <si>
    <t>Hosur &amp; multiple units</t>
  </si>
  <si>
    <t>India’s largest watch &amp; smartwatch exporter</t>
  </si>
  <si>
    <t>Timex Group India Ltd</t>
  </si>
  <si>
    <t>Fashion &amp; analogue watch exporter</t>
  </si>
  <si>
    <t>Fire-Boltt (Saviour Timepiece)</t>
  </si>
  <si>
    <t>India’s largest smartwatch exporter (by volume)</t>
  </si>
  <si>
    <t>Noise (Nexxbase)</t>
  </si>
  <si>
    <t>Smartwatch &amp; wearable exporter</t>
  </si>
  <si>
    <t>Boat (Imagine Marketing)</t>
  </si>
  <si>
    <t>Smartwatch &amp; audio wearable exporter</t>
  </si>
  <si>
    <t>Hosur Watch Cluster (Titan ecosystem)</t>
  </si>
  <si>
    <t>Hosur</t>
  </si>
  <si>
    <t>Analogue watch assembly cluster</t>
  </si>
  <si>
    <t>Delhi-NCR Smartwatch Cluster</t>
  </si>
  <si>
    <t>Gurugram-Noida area</t>
  </si>
  <si>
    <t>Fire-Boltt, Noise, Boat ecosystem</t>
  </si>
  <si>
    <t>NIFT - Fashion Accessories Dept (Watch Design)</t>
  </si>
  <si>
    <t>NIFT Campus, Hauz Khas</t>
  </si>
  <si>
    <t>Training in watch &amp; wearable design</t>
  </si>
  <si>
    <t>RCMC Issuing Authority for all musical instruments (handcrafted)</t>
  </si>
  <si>
    <t>Main RCMC body for Chapter 92</t>
  </si>
  <si>
    <t>Handicrafts Export Promotion Council (HEPC) - Musical Instruments Division</t>
  </si>
  <si>
    <t>https://hepcindia.org</t>
  </si>
  <si>
    <t>RCMC for South Indian percussion instruments</t>
  </si>
  <si>
    <t>All India Musical Instruments Manufacturers &amp; Exporters Association (AIMIMEA)</t>
  </si>
  <si>
    <t>Represents tabla, sitar, harmonium manufacturers</t>
  </si>
  <si>
    <t>Miraj Musical Instruments Cluster</t>
  </si>
  <si>
    <t>Sangli</t>
  </si>
  <si>
    <t>Miraj</t>
  </si>
  <si>
    <t>Largest harmonium &amp; percussion cluster</t>
  </si>
  <si>
    <t>Varanasi Sitar &amp; Tabla Cluster</t>
  </si>
  <si>
    <t>Traditional sitar, tabla &amp; tanpura artisans</t>
  </si>
  <si>
    <t>Kolkata Percussion Cluster</t>
  </si>
  <si>
    <t>Tabla, dholak &amp; khol manufacturers</t>
  </si>
  <si>
    <t>National Institute of Design (NID) - Product Design</t>
  </si>
  <si>
    <t>Training in musical instrument design &amp; acoustics</t>
  </si>
  <si>
    <t>Rikhi Ram Musical Instruments</t>
  </si>
  <si>
    <t>info@rikhiram.com</t>
  </si>
  <si>
    <t>https://rikhiram.com</t>
  </si>
  <si>
    <t>Connaught Place, Delhi</t>
  </si>
  <si>
    <t>Legendary sitar &amp; tabla exporter (Pandit Ravi Shankar’s supplier)</t>
  </si>
  <si>
    <t>Radha Krishna Sharma &amp; Sons (Sitar)</t>
  </si>
  <si>
    <t>Top sitar &amp; tanpura exporter</t>
  </si>
  <si>
    <t>Monoj Kumar Sardar &amp; Bros</t>
  </si>
  <si>
    <t>Largest tabla &amp; percussion exporter</t>
  </si>
  <si>
    <t>Miraj Harmonium Works</t>
  </si>
  <si>
    <t>Handmade harmonium exporter</t>
  </si>
  <si>
    <t>Yamaha Music India - Traditional Division</t>
  </si>
  <si>
    <t>Electronic &amp; traditional instrument exporter</t>
  </si>
  <si>
    <t>Varanasi Musical Instruments Cooperative Society</t>
  </si>
  <si>
    <t>Sitar &amp; tabla artisans cooperative</t>
  </si>
  <si>
    <t>Kolkata Tabla Makers Cooperative</t>
  </si>
  <si>
    <t>Tabla &amp; percussion cooperative</t>
  </si>
  <si>
    <t>Export Promotion Council for Handicrafts (EPCH) - Furniture Division</t>
  </si>
  <si>
    <t>RCMC Issuing Authority for all wooden, bamboo, cane &amp; handicraft furniture</t>
  </si>
  <si>
    <t>Indian Furniture Products Export Promotion Council (IFPEPC) - proposed merger into EPCH</t>
  </si>
  <si>
    <t>Dedicated council for furniture &amp; home furnishings</t>
  </si>
  <si>
    <t>Association of Furniture Manufacturers &amp; Traders (AFMT)</t>
  </si>
  <si>
    <t>Represents 3000+ furniture units in Jodhpur cluster</t>
  </si>
  <si>
    <t>Jodhpur Handicraft Exporters Association (JHEA)</t>
  </si>
  <si>
    <t>Wooden &amp; iron furniture cluster body</t>
  </si>
  <si>
    <t>Saharanpur Wood Carving Cluster</t>
  </si>
  <si>
    <t>Largest wooden furniture &amp; carving cluster</t>
  </si>
  <si>
    <t>Okhla Phase-III</t>
  </si>
  <si>
    <t>Training in furniture design &amp; prototyping</t>
  </si>
  <si>
    <t>Indian Institute of Furniture Design (IIFD) - Jodhpur</t>
  </si>
  <si>
    <t>Specialised furniture design &amp; export training</t>
  </si>
  <si>
    <t>Godrej Interio - Export Division</t>
  </si>
  <si>
    <t>interio@godrej.com</t>
  </si>
  <si>
    <t>https://godrejinterio.com</t>
  </si>
  <si>
    <t>Vikhroli &amp; multiple units</t>
  </si>
  <si>
    <t>Largest corporate furniture exporter</t>
  </si>
  <si>
    <t>Nilkamal Limited</t>
  </si>
  <si>
    <t>info@nilkamal.com</t>
  </si>
  <si>
    <t>https://nilkamal.com</t>
  </si>
  <si>
    <t>Multiple units (Dadra, Sinnar)</t>
  </si>
  <si>
    <t>Largest plastic moulded furniture exporter</t>
  </si>
  <si>
    <t>Zuari Furniture</t>
  </si>
  <si>
    <t>info@zuarifurniture.com</t>
  </si>
  <si>
    <t>https://zuarifurniture.com</t>
  </si>
  <si>
    <t>Sattari, Goa</t>
  </si>
  <si>
    <t>Wooden home &amp; office furniture exporter</t>
  </si>
  <si>
    <t>Mudra Furnitures</t>
  </si>
  <si>
    <t>Top wooden &amp; iron furniture exporter</t>
  </si>
  <si>
    <t>Artisan Furniture India</t>
  </si>
  <si>
    <t>Hand-carved wooden furniture exporter</t>
  </si>
  <si>
    <t>Jodhpur Handicraft Furniture Cooperative Society</t>
  </si>
  <si>
    <t>Wooden furniture artisans cooperative</t>
  </si>
  <si>
    <t>Saharanpur Wood Carvers Cooperative</t>
  </si>
  <si>
    <t>Wooden furniture &amp; carving cooperative</t>
  </si>
  <si>
    <t>RCMC Issuing Authority for all toys, games, festive articles</t>
  </si>
  <si>
    <t>Toy Association of India (TAI)</t>
  </si>
  <si>
    <t>info@toyassociationofindia.org</t>
  </si>
  <si>
    <t>https://toyassociationofindia.org</t>
  </si>
  <si>
    <t>507, Business Classic, Malad West, Mumbai - 400064</t>
  </si>
  <si>
    <t>National body for toy manufacturers &amp; exporters</t>
  </si>
  <si>
    <t>Sports Goods Export Promotion Council (SGEPC)</t>
  </si>
  <si>
    <t>info@sgepc.in</t>
  </si>
  <si>
    <t>https://sportsgoodsindia.org</t>
  </si>
  <si>
    <t>11/3, PAC Building, Meerut - 250001</t>
  </si>
  <si>
    <t>RCMC for sports requisites (HS9506)</t>
  </si>
  <si>
    <t>All India Toy Manufacturers Association (TAIMA)</t>
  </si>
  <si>
    <t>Noida &amp; Delhi</t>
  </si>
  <si>
    <t>Represents 2000+ toy units</t>
  </si>
  <si>
    <t>National Centre for Toy Design &amp; Testing (NCTDT - IIT Bombay)</t>
  </si>
  <si>
    <t>SINE, IIT Bombay</t>
  </si>
  <si>
    <t>Govt toy testing &amp; design centre (BIS approved)</t>
  </si>
  <si>
    <t>Noida Toy Cluster</t>
  </si>
  <si>
    <t>Noida-Greater Noida</t>
  </si>
  <si>
    <t>Largest plastic &amp; electronic toy cluster</t>
  </si>
  <si>
    <t>Meerut Sports Goods Cluster</t>
  </si>
  <si>
    <t>Cricket bats, balls, gym equipment cluster</t>
  </si>
  <si>
    <t>Funzoo Toys India Pvt Ltd</t>
  </si>
  <si>
    <t>Noida units</t>
  </si>
  <si>
    <t>Largest soft toy &amp; plush exporter</t>
  </si>
  <si>
    <t>Little India Crafts</t>
  </si>
  <si>
    <t>Handcrafted wooden &amp; educational toys exporter</t>
  </si>
  <si>
    <t>SG Sports &amp; Toys</t>
  </si>
  <si>
    <t>Cricket &amp; sports goods exporter</t>
  </si>
  <si>
    <t>Playgro Toys India Pvt Ltd</t>
  </si>
  <si>
    <t>Delhi-Noida</t>
  </si>
  <si>
    <t>Plastic &amp; educational toys exporter</t>
  </si>
  <si>
    <t>Noida Toy Cooperative Society</t>
  </si>
  <si>
    <t>Plastic toy artisans cooperative</t>
  </si>
  <si>
    <t>Meerut Sports Goods Cooperative</t>
  </si>
  <si>
    <t>Sports equipment cooperative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</si>
</sst>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ruturi.com/" TargetMode="External"/><Relationship Id="rId671" Type="http://schemas.openxmlformats.org/officeDocument/2006/relationships/hyperlink" Target="https://jbfindia.com/" TargetMode="External"/><Relationship Id="rId769" Type="http://schemas.openxmlformats.org/officeDocument/2006/relationships/hyperlink" Target="https://aepcindia.com/" TargetMode="External"/><Relationship Id="rId21" Type="http://schemas.openxmlformats.org/officeDocument/2006/relationships/hyperlink" Target="https://sugunafoods.com/" TargetMode="External"/><Relationship Id="rId324" Type="http://schemas.openxmlformats.org/officeDocument/2006/relationships/hyperlink" Target="mailto:milkfed@verka.coop" TargetMode="External"/><Relationship Id="rId531" Type="http://schemas.openxmlformats.org/officeDocument/2006/relationships/hyperlink" Target="https://iwst.icar.gov.in/" TargetMode="External"/><Relationship Id="rId629" Type="http://schemas.openxmlformats.org/officeDocument/2006/relationships/hyperlink" Target="mailto:cci@cotcorp.com" TargetMode="External"/><Relationship Id="rId170" Type="http://schemas.openxmlformats.org/officeDocument/2006/relationships/hyperlink" Target="mailto:info@kalyaexports.com" TargetMode="External"/><Relationship Id="rId836" Type="http://schemas.openxmlformats.org/officeDocument/2006/relationships/hyperlink" Target="mailto:info@epch.in" TargetMode="External"/><Relationship Id="rId268" Type="http://schemas.openxmlformats.org/officeDocument/2006/relationships/hyperlink" Target="https://olamgroup.com/" TargetMode="External"/><Relationship Id="rId475" Type="http://schemas.openxmlformats.org/officeDocument/2006/relationships/hyperlink" Target="mailto:info@superhousegroup.com" TargetMode="External"/><Relationship Id="rId682" Type="http://schemas.openxmlformats.org/officeDocument/2006/relationships/hyperlink" Target="https://ril.com/" TargetMode="External"/><Relationship Id="rId903" Type="http://schemas.openxmlformats.org/officeDocument/2006/relationships/hyperlink" Target="https://gjepc.org/" TargetMode="External"/><Relationship Id="rId32" Type="http://schemas.openxmlformats.org/officeDocument/2006/relationships/hyperlink" Target="mailto:mpeda.kolkata@mpeda.gov.in" TargetMode="External"/><Relationship Id="rId128" Type="http://schemas.openxmlformats.org/officeDocument/2006/relationships/hyperlink" Target="https://iihr.icar.gov.in/" TargetMode="External"/><Relationship Id="rId335" Type="http://schemas.openxmlformats.org/officeDocument/2006/relationships/hyperlink" Target="https://ndri.res.in/" TargetMode="External"/><Relationship Id="rId542" Type="http://schemas.openxmlformats.org/officeDocument/2006/relationships/hyperlink" Target="mailto:info@greenkraftindia.com" TargetMode="External"/><Relationship Id="rId181" Type="http://schemas.openxmlformats.org/officeDocument/2006/relationships/hyperlink" Target="mailto:info@iginternational.net" TargetMode="External"/><Relationship Id="rId402" Type="http://schemas.openxmlformats.org/officeDocument/2006/relationships/hyperlink" Target="https://cftri.res.in/" TargetMode="External"/><Relationship Id="rId847" Type="http://schemas.openxmlformats.org/officeDocument/2006/relationships/hyperlink" Target="https://ncdpd.in/" TargetMode="External"/><Relationship Id="rId279" Type="http://schemas.openxmlformats.org/officeDocument/2006/relationships/hyperlink" Target="mailto:director@dgr.org.in" TargetMode="External"/><Relationship Id="rId486" Type="http://schemas.openxmlformats.org/officeDocument/2006/relationships/hyperlink" Target="mailto:director@clri.org" TargetMode="External"/><Relationship Id="rId693" Type="http://schemas.openxmlformats.org/officeDocument/2006/relationships/hyperlink" Target="https://favouritefab.com/" TargetMode="External"/><Relationship Id="rId707" Type="http://schemas.openxmlformats.org/officeDocument/2006/relationships/hyperlink" Target="https://kashyam.com/" TargetMode="External"/><Relationship Id="rId914" Type="http://schemas.openxmlformats.org/officeDocument/2006/relationships/hyperlink" Target="https://rajeshindia.com/" TargetMode="External"/><Relationship Id="rId43" Type="http://schemas.openxmlformats.org/officeDocument/2006/relationships/hyperlink" Target="mailto:info@avantifeeds.com" TargetMode="External"/><Relationship Id="rId139" Type="http://schemas.openxmlformats.org/officeDocument/2006/relationships/hyperlink" Target="mailto:foods@jains.com" TargetMode="External"/><Relationship Id="rId346" Type="http://schemas.openxmlformats.org/officeDocument/2006/relationships/hyperlink" Target="https://sumeru.net/" TargetMode="External"/><Relationship Id="rId553" Type="http://schemas.openxmlformats.org/officeDocument/2006/relationships/hyperlink" Target="mailto:export@tnpl.co.in" TargetMode="External"/><Relationship Id="rId760" Type="http://schemas.openxmlformats.org/officeDocument/2006/relationships/hyperlink" Target="https://pratibhasyntex.com/" TargetMode="External"/><Relationship Id="rId192" Type="http://schemas.openxmlformats.org/officeDocument/2006/relationships/hyperlink" Target="https://indianspices.com/" TargetMode="External"/><Relationship Id="rId206" Type="http://schemas.openxmlformats.org/officeDocument/2006/relationships/hyperlink" Target="https://vkcgroup.com/" TargetMode="External"/><Relationship Id="rId413" Type="http://schemas.openxmlformats.org/officeDocument/2006/relationships/hyperlink" Target="mailto:export@mothersrecipe.com" TargetMode="External"/><Relationship Id="rId858" Type="http://schemas.openxmlformats.org/officeDocument/2006/relationships/hyperlink" Target="https://aigsa.org/" TargetMode="External"/><Relationship Id="rId497" Type="http://schemas.openxmlformats.org/officeDocument/2006/relationships/hyperlink" Target="https://damilano.com/" TargetMode="External"/><Relationship Id="rId620" Type="http://schemas.openxmlformats.org/officeDocument/2006/relationships/hyperlink" Target="https://wwepcindia.com/" TargetMode="External"/><Relationship Id="rId718" Type="http://schemas.openxmlformats.org/officeDocument/2006/relationships/hyperlink" Target="https://nift.ac.in/" TargetMode="External"/><Relationship Id="rId925" Type="http://schemas.openxmlformats.org/officeDocument/2006/relationships/hyperlink" Target="https://tapariatools.com/" TargetMode="External"/><Relationship Id="rId357" Type="http://schemas.openxmlformats.org/officeDocument/2006/relationships/hyperlink" Target="https://bajajhindusthan.com/" TargetMode="External"/><Relationship Id="rId54" Type="http://schemas.openxmlformats.org/officeDocument/2006/relationships/hyperlink" Target="https://ifbagro.in/" TargetMode="External"/><Relationship Id="rId217" Type="http://schemas.openxmlformats.org/officeDocument/2006/relationships/hyperlink" Target="mailto:apeda-mumbai@apeda.gov.in" TargetMode="External"/><Relationship Id="rId564" Type="http://schemas.openxmlformats.org/officeDocument/2006/relationships/hyperlink" Target="https://capexil.org/" TargetMode="External"/><Relationship Id="rId771" Type="http://schemas.openxmlformats.org/officeDocument/2006/relationships/hyperlink" Target="https://cmai.in/" TargetMode="External"/><Relationship Id="rId869" Type="http://schemas.openxmlformats.org/officeDocument/2006/relationships/hyperlink" Target="https://madhavmarble.com/" TargetMode="External"/><Relationship Id="rId424" Type="http://schemas.openxmlformats.org/officeDocument/2006/relationships/hyperlink" Target="https://tropolite.com/" TargetMode="External"/><Relationship Id="rId631" Type="http://schemas.openxmlformats.org/officeDocument/2006/relationships/hyperlink" Target="mailto:secy.texcom@nic.in" TargetMode="External"/><Relationship Id="rId729" Type="http://schemas.openxmlformats.org/officeDocument/2006/relationships/hyperlink" Target="mailto:export@kusumgar.com" TargetMode="External"/><Relationship Id="rId270" Type="http://schemas.openxmlformats.org/officeDocument/2006/relationships/hyperlink" Target="https://vlcspices.com/" TargetMode="External"/><Relationship Id="rId936" Type="http://schemas.openxmlformats.org/officeDocument/2006/relationships/hyperlink" Target="https://epch.in/" TargetMode="External"/><Relationship Id="rId65" Type="http://schemas.openxmlformats.org/officeDocument/2006/relationships/hyperlink" Target="https://nddb.coop/" TargetMode="External"/><Relationship Id="rId130" Type="http://schemas.openxmlformats.org/officeDocument/2006/relationships/hyperlink" Target="https://apeda.gov.in/" TargetMode="External"/><Relationship Id="rId368" Type="http://schemas.openxmlformats.org/officeDocument/2006/relationships/hyperlink" Target="mailto:campco@campco.org" TargetMode="External"/><Relationship Id="rId575" Type="http://schemas.openxmlformats.org/officeDocument/2006/relationships/hyperlink" Target="mailto:export@spbltd.com" TargetMode="External"/><Relationship Id="rId782" Type="http://schemas.openxmlformats.org/officeDocument/2006/relationships/hyperlink" Target="mailto:export@richaglobal.com" TargetMode="External"/><Relationship Id="rId228" Type="http://schemas.openxmlformats.org/officeDocument/2006/relationships/hyperlink" Target="https://acjl.in/" TargetMode="External"/><Relationship Id="rId435" Type="http://schemas.openxmlformats.org/officeDocument/2006/relationships/hyperlink" Target="mailto:export@veeba.in" TargetMode="External"/><Relationship Id="rId642" Type="http://schemas.openxmlformats.org/officeDocument/2006/relationships/hyperlink" Target="https://owmnahar.com/" TargetMode="External"/><Relationship Id="rId281" Type="http://schemas.openxmlformats.org/officeDocument/2006/relationships/hyperlink" Target="mailto:director@icar-iior.org.in" TargetMode="External"/><Relationship Id="rId502" Type="http://schemas.openxmlformats.org/officeDocument/2006/relationships/hyperlink" Target="https://farida.com/" TargetMode="External"/><Relationship Id="rId947" Type="http://schemas.openxmlformats.org/officeDocument/2006/relationships/hyperlink" Target="mailto:interio@godrej.com" TargetMode="External"/><Relationship Id="rId76" Type="http://schemas.openxmlformats.org/officeDocument/2006/relationships/hyperlink" Target="mailto:info@hatsun.com" TargetMode="External"/><Relationship Id="rId141" Type="http://schemas.openxmlformats.org/officeDocument/2006/relationships/hyperlink" Target="mailto:director@nhrdf.org" TargetMode="External"/><Relationship Id="rId379" Type="http://schemas.openxmlformats.org/officeDocument/2006/relationships/hyperlink" Target="https://synthite.com/" TargetMode="External"/><Relationship Id="rId586" Type="http://schemas.openxmlformats.org/officeDocument/2006/relationships/hyperlink" Target="https://capexil.org/" TargetMode="External"/><Relationship Id="rId793" Type="http://schemas.openxmlformats.org/officeDocument/2006/relationships/hyperlink" Target="mailto:export@welspun.com" TargetMode="External"/><Relationship Id="rId807" Type="http://schemas.openxmlformats.org/officeDocument/2006/relationships/hyperlink" Target="mailto:cle@leatherindia.org" TargetMode="External"/><Relationship Id="rId7" Type="http://schemas.openxmlformats.org/officeDocument/2006/relationships/hyperlink" Target="mailto:info@allanasons.com" TargetMode="External"/><Relationship Id="rId239" Type="http://schemas.openxmlformats.org/officeDocument/2006/relationships/hyperlink" Target="https://adaniwilmar.com/" TargetMode="External"/><Relationship Id="rId446" Type="http://schemas.openxmlformats.org/officeDocument/2006/relationships/hyperlink" Target="mailto:info@synthite.com" TargetMode="External"/><Relationship Id="rId653" Type="http://schemas.openxmlformats.org/officeDocument/2006/relationships/hyperlink" Target="mailto:gloster@glosterjute.com" TargetMode="External"/><Relationship Id="rId292" Type="http://schemas.openxmlformats.org/officeDocument/2006/relationships/hyperlink" Target="https://hindustangums.com/" TargetMode="External"/><Relationship Id="rId306" Type="http://schemas.openxmlformats.org/officeDocument/2006/relationships/hyperlink" Target="https://epch.in/" TargetMode="External"/><Relationship Id="rId860" Type="http://schemas.openxmlformats.org/officeDocument/2006/relationships/hyperlink" Target="mailto:info@rkmarble.com" TargetMode="External"/><Relationship Id="rId958" Type="http://schemas.openxmlformats.org/officeDocument/2006/relationships/hyperlink" Target="https://sportsgoodsindia.org/" TargetMode="External"/><Relationship Id="rId87" Type="http://schemas.openxmlformats.org/officeDocument/2006/relationships/hyperlink" Target="https://utmt.in/" TargetMode="External"/><Relationship Id="rId513" Type="http://schemas.openxmlformats.org/officeDocument/2006/relationships/hyperlink" Target="mailto:director@clri.org" TargetMode="External"/><Relationship Id="rId597" Type="http://schemas.openxmlformats.org/officeDocument/2006/relationships/hyperlink" Target="mailto:export@nutechbooks.com" TargetMode="External"/><Relationship Id="rId720" Type="http://schemas.openxmlformats.org/officeDocument/2006/relationships/hyperlink" Target="https://srtepc.in/" TargetMode="External"/><Relationship Id="rId818" Type="http://schemas.openxmlformats.org/officeDocument/2006/relationships/hyperlink" Target="https://mirza.co.in/" TargetMode="External"/><Relationship Id="rId152" Type="http://schemas.openxmlformats.org/officeDocument/2006/relationships/hyperlink" Target="mailto:dogr@icar.gov.in" TargetMode="External"/><Relationship Id="rId457" Type="http://schemas.openxmlformats.org/officeDocument/2006/relationships/hyperlink" Target="https://cargill.co.in/" TargetMode="External"/><Relationship Id="rId664" Type="http://schemas.openxmlformats.org/officeDocument/2006/relationships/hyperlink" Target="https://ril.com/" TargetMode="External"/><Relationship Id="rId871" Type="http://schemas.openxmlformats.org/officeDocument/2006/relationships/hyperlink" Target="https://capexil.in/" TargetMode="External"/><Relationship Id="rId969" Type="http://schemas.openxmlformats.org/officeDocument/2006/relationships/hyperlink" Target="https://aromatreasure.com/" TargetMode="External"/><Relationship Id="rId14" Type="http://schemas.openxmlformats.org/officeDocument/2006/relationships/hyperlink" Target="mailto:info@arabianexports.com" TargetMode="External"/><Relationship Id="rId317" Type="http://schemas.openxmlformats.org/officeDocument/2006/relationships/hyperlink" Target="https://apeda.gov.in/" TargetMode="External"/><Relationship Id="rId524" Type="http://schemas.openxmlformats.org/officeDocument/2006/relationships/hyperlink" Target="https://archidply.com/" TargetMode="External"/><Relationship Id="rId731" Type="http://schemas.openxmlformats.org/officeDocument/2006/relationships/hyperlink" Target="https://sasmira.org/" TargetMode="External"/><Relationship Id="rId98" Type="http://schemas.openxmlformats.org/officeDocument/2006/relationships/hyperlink" Target="mailto:info@sterlingbiotech.in" TargetMode="External"/><Relationship Id="rId163" Type="http://schemas.openxmlformats.org/officeDocument/2006/relationships/hyperlink" Target="https://nhb.gov.in/" TargetMode="External"/><Relationship Id="rId370" Type="http://schemas.openxmlformats.org/officeDocument/2006/relationships/hyperlink" Target="https://in.mondelezinternational.com/" TargetMode="External"/><Relationship Id="rId829" Type="http://schemas.openxmlformats.org/officeDocument/2006/relationships/hyperlink" Target="mailto:info@epch.in" TargetMode="External"/><Relationship Id="rId230" Type="http://schemas.openxmlformats.org/officeDocument/2006/relationships/hyperlink" Target="https://grmrice.com/" TargetMode="External"/><Relationship Id="rId468" Type="http://schemas.openxmlformats.org/officeDocument/2006/relationships/hyperlink" Target="https://nianp.icar.gov.in/" TargetMode="External"/><Relationship Id="rId675" Type="http://schemas.openxmlformats.org/officeDocument/2006/relationships/hyperlink" Target="https://ril.com/" TargetMode="External"/><Relationship Id="rId882" Type="http://schemas.openxmlformats.org/officeDocument/2006/relationships/hyperlink" Target="mailto:info@cera-india.com" TargetMode="External"/><Relationship Id="rId25" Type="http://schemas.openxmlformats.org/officeDocument/2006/relationships/hyperlink" Target="https://nrcmeat.icar.gov.in/" TargetMode="External"/><Relationship Id="rId328" Type="http://schemas.openxmlformats.org/officeDocument/2006/relationships/hyperlink" Target="mailto:info@anikgroup.com" TargetMode="External"/><Relationship Id="rId535" Type="http://schemas.openxmlformats.org/officeDocument/2006/relationships/hyperlink" Target="mailto:info@epch.in" TargetMode="External"/><Relationship Id="rId742" Type="http://schemas.openxmlformats.org/officeDocument/2006/relationships/hyperlink" Target="mailto:export@bks-textiles.com" TargetMode="External"/><Relationship Id="rId174" Type="http://schemas.openxmlformats.org/officeDocument/2006/relationships/hyperlink" Target="mailto:info@elvinafruits.com" TargetMode="External"/><Relationship Id="rId381" Type="http://schemas.openxmlformats.org/officeDocument/2006/relationships/hyperlink" Target="https://cpcri.icar.gov.in/" TargetMode="External"/><Relationship Id="rId602" Type="http://schemas.openxmlformats.org/officeDocument/2006/relationships/hyperlink" Target="https://ficci.in/" TargetMode="External"/><Relationship Id="rId241" Type="http://schemas.openxmlformats.org/officeDocument/2006/relationships/hyperlink" Target="https://iirr.icar.gov.in/" TargetMode="External"/><Relationship Id="rId479" Type="http://schemas.openxmlformats.org/officeDocument/2006/relationships/hyperlink" Target="mailto:info@mirza.co.in" TargetMode="External"/><Relationship Id="rId686" Type="http://schemas.openxmlformats.org/officeDocument/2006/relationships/hyperlink" Target="mailto:info@nonwovensindia.com" TargetMode="External"/><Relationship Id="rId893" Type="http://schemas.openxmlformats.org/officeDocument/2006/relationships/hyperlink" Target="https://cgcri.res.in/" TargetMode="External"/><Relationship Id="rId907" Type="http://schemas.openxmlformats.org/officeDocument/2006/relationships/hyperlink" Target="https://iigj.org/" TargetMode="External"/><Relationship Id="rId36" Type="http://schemas.openxmlformats.org/officeDocument/2006/relationships/hyperlink" Target="https://mpeda.gov.in/" TargetMode="External"/><Relationship Id="rId339" Type="http://schemas.openxmlformats.org/officeDocument/2006/relationships/hyperlink" Target="https://eicindia.gov.in/" TargetMode="External"/><Relationship Id="rId546" Type="http://schemas.openxmlformats.org/officeDocument/2006/relationships/hyperlink" Target="mailto:ipma@ipma.co.in" TargetMode="External"/><Relationship Id="rId753" Type="http://schemas.openxmlformats.org/officeDocument/2006/relationships/hyperlink" Target="mailto:info@shahi.co.in" TargetMode="External"/><Relationship Id="rId101" Type="http://schemas.openxmlformats.org/officeDocument/2006/relationships/hyperlink" Target="mailto:info.india@gelita.com" TargetMode="External"/><Relationship Id="rId185" Type="http://schemas.openxmlformats.org/officeDocument/2006/relationships/hyperlink" Target="mailto:director.nrcpomegranate@icar.gov.in" TargetMode="External"/><Relationship Id="rId406" Type="http://schemas.openxmlformats.org/officeDocument/2006/relationships/hyperlink" Target="https://delmontefoods.in/" TargetMode="External"/><Relationship Id="rId960" Type="http://schemas.openxmlformats.org/officeDocument/2006/relationships/hyperlink" Target="https://eoai.in/" TargetMode="External"/><Relationship Id="rId392" Type="http://schemas.openxmlformats.org/officeDocument/2006/relationships/hyperlink" Target="mailto:export@haldiram.com" TargetMode="External"/><Relationship Id="rId613" Type="http://schemas.openxmlformats.org/officeDocument/2006/relationships/hyperlink" Target="mailto:export@reshamandi.com" TargetMode="External"/><Relationship Id="rId697" Type="http://schemas.openxmlformats.org/officeDocument/2006/relationships/hyperlink" Target="mailto:info@cepc.co.in" TargetMode="External"/><Relationship Id="rId820" Type="http://schemas.openxmlformats.org/officeDocument/2006/relationships/hyperlink" Target="https://vkcgroup.com/" TargetMode="External"/><Relationship Id="rId918" Type="http://schemas.openxmlformats.org/officeDocument/2006/relationships/hyperlink" Target="https://epch.in/" TargetMode="External"/><Relationship Id="rId252" Type="http://schemas.openxmlformats.org/officeDocument/2006/relationships/hyperlink" Target="mailto:info@naturellindia.com" TargetMode="External"/><Relationship Id="rId47" Type="http://schemas.openxmlformats.org/officeDocument/2006/relationships/hyperlink" Target="mailto:info@westcoast.in" TargetMode="External"/><Relationship Id="rId112" Type="http://schemas.openxmlformats.org/officeDocument/2006/relationships/hyperlink" Target="mailto:chairman@apeda.gov.in" TargetMode="External"/><Relationship Id="rId557" Type="http://schemas.openxmlformats.org/officeDocument/2006/relationships/hyperlink" Target="https://itcportal.com/" TargetMode="External"/><Relationship Id="rId764" Type="http://schemas.openxmlformats.org/officeDocument/2006/relationships/hyperlink" Target="https://pearlglobal.com/" TargetMode="External"/><Relationship Id="rId971" Type="http://schemas.openxmlformats.org/officeDocument/2006/relationships/hyperlink" Target="https://cimap.res.in/" TargetMode="External"/><Relationship Id="rId196" Type="http://schemas.openxmlformats.org/officeDocument/2006/relationships/hyperlink" Target="https://indianspices.com/" TargetMode="External"/><Relationship Id="rId417" Type="http://schemas.openxmlformats.org/officeDocument/2006/relationships/hyperlink" Target="mailto:export@priyafoods.com" TargetMode="External"/><Relationship Id="rId624" Type="http://schemas.openxmlformats.org/officeDocument/2006/relationships/hyperlink" Target="https://bhuttico.com/" TargetMode="External"/><Relationship Id="rId831" Type="http://schemas.openxmlformats.org/officeDocument/2006/relationships/hyperlink" Target="mailto:info@aepcindia.com" TargetMode="External"/><Relationship Id="rId263" Type="http://schemas.openxmlformats.org/officeDocument/2006/relationships/hyperlink" Target="https://iocepc.org/" TargetMode="External"/><Relationship Id="rId470" Type="http://schemas.openxmlformats.org/officeDocument/2006/relationships/hyperlink" Target="https://leatherindia.org/" TargetMode="External"/><Relationship Id="rId929" Type="http://schemas.openxmlformats.org/officeDocument/2006/relationships/hyperlink" Target="mailto:info@escindia.in" TargetMode="External"/><Relationship Id="rId58" Type="http://schemas.openxmlformats.org/officeDocument/2006/relationships/hyperlink" Target="mailto:info@devifisheries.com" TargetMode="External"/><Relationship Id="rId123" Type="http://schemas.openxmlformats.org/officeDocument/2006/relationships/hyperlink" Target="mailto:labland@lablandbiotech.com" TargetMode="External"/><Relationship Id="rId330" Type="http://schemas.openxmlformats.org/officeDocument/2006/relationships/hyperlink" Target="mailto:fats@allanasons.com" TargetMode="External"/><Relationship Id="rId568" Type="http://schemas.openxmlformats.org/officeDocument/2006/relationships/hyperlink" Target="https://jkpaper.com/" TargetMode="External"/><Relationship Id="rId775" Type="http://schemas.openxmlformats.org/officeDocument/2006/relationships/hyperlink" Target="https://arvindfashions.com/" TargetMode="External"/><Relationship Id="rId428" Type="http://schemas.openxmlformats.org/officeDocument/2006/relationships/hyperlink" Target="https://apeda.gov.in/" TargetMode="External"/><Relationship Id="rId635" Type="http://schemas.openxmlformats.org/officeDocument/2006/relationships/hyperlink" Target="mailto:export@vardhman.com" TargetMode="External"/><Relationship Id="rId842" Type="http://schemas.openxmlformats.org/officeDocument/2006/relationships/hyperlink" Target="mailto:export@vipindustries.com" TargetMode="External"/><Relationship Id="rId274" Type="http://schemas.openxmlformats.org/officeDocument/2006/relationships/hyperlink" Target="https://gokulagro.com/" TargetMode="External"/><Relationship Id="rId481" Type="http://schemas.openxmlformats.org/officeDocument/2006/relationships/hyperlink" Target="mailto:info@farida.com" TargetMode="External"/><Relationship Id="rId702" Type="http://schemas.openxmlformats.org/officeDocument/2006/relationships/hyperlink" Target="https://obeetee.com/" TargetMode="External"/><Relationship Id="rId69" Type="http://schemas.openxmlformats.org/officeDocument/2006/relationships/hyperlink" Target="https://ibgroup.co.in/" TargetMode="External"/><Relationship Id="rId134" Type="http://schemas.openxmlformats.org/officeDocument/2006/relationships/hyperlink" Target="https://apeda.gov.in/" TargetMode="External"/><Relationship Id="rId579" Type="http://schemas.openxmlformats.org/officeDocument/2006/relationships/hyperlink" Target="https://nragarwal.com/" TargetMode="External"/><Relationship Id="rId786" Type="http://schemas.openxmlformats.org/officeDocument/2006/relationships/hyperlink" Target="mailto:naec@noidacluster.com" TargetMode="External"/><Relationship Id="rId341" Type="http://schemas.openxmlformats.org/officeDocument/2006/relationships/hyperlink" Target="https://allanasons.com/" TargetMode="External"/><Relationship Id="rId439" Type="http://schemas.openxmlformats.org/officeDocument/2006/relationships/hyperlink" Target="mailto:export@hamdard.in" TargetMode="External"/><Relationship Id="rId646" Type="http://schemas.openxmlformats.org/officeDocument/2006/relationships/hyperlink" Target="https://dac.gov.in/" TargetMode="External"/><Relationship Id="rId201" Type="http://schemas.openxmlformats.org/officeDocument/2006/relationships/hyperlink" Target="mailto:info@plantlipids.com" TargetMode="External"/><Relationship Id="rId285" Type="http://schemas.openxmlformats.org/officeDocument/2006/relationships/hyperlink" Target="mailto:info@shefexil.org" TargetMode="External"/><Relationship Id="rId506" Type="http://schemas.openxmlformats.org/officeDocument/2006/relationships/hyperlink" Target="mailto:cle@leatherindia.org" TargetMode="External"/><Relationship Id="rId853" Type="http://schemas.openxmlformats.org/officeDocument/2006/relationships/hyperlink" Target="mailto:jaipur@capexil.in" TargetMode="External"/><Relationship Id="rId492" Type="http://schemas.openxmlformats.org/officeDocument/2006/relationships/hyperlink" Target="mailto:leatherproducts@tata.com" TargetMode="External"/><Relationship Id="rId713" Type="http://schemas.openxmlformats.org/officeDocument/2006/relationships/hyperlink" Target="mailto:info@pdexcil.org" TargetMode="External"/><Relationship Id="rId797" Type="http://schemas.openxmlformats.org/officeDocument/2006/relationships/hyperlink" Target="mailto:export@himatsingka.com" TargetMode="External"/><Relationship Id="rId920" Type="http://schemas.openxmlformats.org/officeDocument/2006/relationships/hyperlink" Target="https://eepcindia.org/" TargetMode="External"/><Relationship Id="rId145" Type="http://schemas.openxmlformats.org/officeDocument/2006/relationships/hyperlink" Target="mailto:india@reitzelgroup.com" TargetMode="External"/><Relationship Id="rId352" Type="http://schemas.openxmlformats.org/officeDocument/2006/relationships/hyperlink" Target="mailto:chairman@apeda.gov.in" TargetMode="External"/><Relationship Id="rId212" Type="http://schemas.openxmlformats.org/officeDocument/2006/relationships/hyperlink" Target="https://akay-group.com/" TargetMode="External"/><Relationship Id="rId657" Type="http://schemas.openxmlformats.org/officeDocument/2006/relationships/hyperlink" Target="https://ludlowjute.com/" TargetMode="External"/><Relationship Id="rId864" Type="http://schemas.openxmlformats.org/officeDocument/2006/relationships/hyperlink" Target="mailto:info@pokarna.com" TargetMode="External"/><Relationship Id="rId296" Type="http://schemas.openxmlformats.org/officeDocument/2006/relationships/hyperlink" Target="https://ramagum.com/" TargetMode="External"/><Relationship Id="rId517" Type="http://schemas.openxmlformats.org/officeDocument/2006/relationships/hyperlink" Target="mailto:info@epch.in" TargetMode="External"/><Relationship Id="rId724" Type="http://schemas.openxmlformats.org/officeDocument/2006/relationships/hyperlink" Target="mailto:export@srf.com" TargetMode="External"/><Relationship Id="rId931" Type="http://schemas.openxmlformats.org/officeDocument/2006/relationships/hyperlink" Target="mailto:info@titan.co.in" TargetMode="External"/><Relationship Id="rId60" Type="http://schemas.openxmlformats.org/officeDocument/2006/relationships/hyperlink" Target="mailto:bmr@bMRgroup.in" TargetMode="External"/><Relationship Id="rId156" Type="http://schemas.openxmlformats.org/officeDocument/2006/relationships/hyperlink" Target="mailto:apeda-nashik@apeda.gov.in" TargetMode="External"/><Relationship Id="rId363" Type="http://schemas.openxmlformats.org/officeDocument/2006/relationships/hyperlink" Target="https://organicindia.com/" TargetMode="External"/><Relationship Id="rId570" Type="http://schemas.openxmlformats.org/officeDocument/2006/relationships/hyperlink" Target="mailto:export@wcpmltd.com" TargetMode="External"/><Relationship Id="rId223" Type="http://schemas.openxmlformats.org/officeDocument/2006/relationships/hyperlink" Target="mailto:info@ltgroup.in" TargetMode="External"/><Relationship Id="rId430" Type="http://schemas.openxmlformats.org/officeDocument/2006/relationships/hyperlink" Target="https://delmontefoods.in/" TargetMode="External"/><Relationship Id="rId668" Type="http://schemas.openxmlformats.org/officeDocument/2006/relationships/hyperlink" Target="mailto:export@filatex.com" TargetMode="External"/><Relationship Id="rId875" Type="http://schemas.openxmlformats.org/officeDocument/2006/relationships/hyperlink" Target="https://icctas.com/" TargetMode="External"/><Relationship Id="rId18" Type="http://schemas.openxmlformats.org/officeDocument/2006/relationships/hyperlink" Target="mailto:info@venkys.com" TargetMode="External"/><Relationship Id="rId528" Type="http://schemas.openxmlformats.org/officeDocument/2006/relationships/hyperlink" Target="https://rushil.com/" TargetMode="External"/><Relationship Id="rId735" Type="http://schemas.openxmlformats.org/officeDocument/2006/relationships/hyperlink" Target="https://tirupurexporters.com/" TargetMode="External"/><Relationship Id="rId942" Type="http://schemas.openxmlformats.org/officeDocument/2006/relationships/hyperlink" Target="https://rikhiram.com/" TargetMode="External"/><Relationship Id="rId167" Type="http://schemas.openxmlformats.org/officeDocument/2006/relationships/hyperlink" Target="https://sahyadrifarms.com/" TargetMode="External"/><Relationship Id="rId374" Type="http://schemas.openxmlformats.org/officeDocument/2006/relationships/hyperlink" Target="https://campco.org/" TargetMode="External"/><Relationship Id="rId581" Type="http://schemas.openxmlformats.org/officeDocument/2006/relationships/hyperlink" Target="https://emamipaper.in/" TargetMode="External"/><Relationship Id="rId71" Type="http://schemas.openxmlformats.org/officeDocument/2006/relationships/hyperlink" Target="https://venkys.com/" TargetMode="External"/><Relationship Id="rId234" Type="http://schemas.openxmlformats.org/officeDocument/2006/relationships/hyperlink" Target="https://sunstaroverseas.com/" TargetMode="External"/><Relationship Id="rId679" Type="http://schemas.openxmlformats.org/officeDocument/2006/relationships/hyperlink" Target="https://indianacrylics.com/" TargetMode="External"/><Relationship Id="rId802" Type="http://schemas.openxmlformats.org/officeDocument/2006/relationships/hyperlink" Target="https://ghcl.co.in/" TargetMode="External"/><Relationship Id="rId886" Type="http://schemas.openxmlformats.org/officeDocument/2006/relationships/hyperlink" Target="mailto:info@capexil.in" TargetMode="External"/><Relationship Id="rId2" Type="http://schemas.openxmlformats.org/officeDocument/2006/relationships/hyperlink" Target="https://apeda.gov.in/" TargetMode="External"/><Relationship Id="rId29" Type="http://schemas.openxmlformats.org/officeDocument/2006/relationships/hyperlink" Target="https://mpeda.gov.in/" TargetMode="External"/><Relationship Id="rId441" Type="http://schemas.openxmlformats.org/officeDocument/2006/relationships/hyperlink" Target="mailto:india@symrise.com" TargetMode="External"/><Relationship Id="rId539" Type="http://schemas.openxmlformats.org/officeDocument/2006/relationships/hyperlink" Target="mailto:tribac.tripura@gmail.com" TargetMode="External"/><Relationship Id="rId746" Type="http://schemas.openxmlformats.org/officeDocument/2006/relationships/hyperlink" Target="https://shahi.co.in/" TargetMode="External"/><Relationship Id="rId178" Type="http://schemas.openxmlformats.org/officeDocument/2006/relationships/hyperlink" Target="https://geewinexim.com/" TargetMode="External"/><Relationship Id="rId301" Type="http://schemas.openxmlformats.org/officeDocument/2006/relationships/hyperlink" Target="mailto:director.cazri@icar.gov.in" TargetMode="External"/><Relationship Id="rId953" Type="http://schemas.openxmlformats.org/officeDocument/2006/relationships/hyperlink" Target="mailto:info@epch.in" TargetMode="External"/><Relationship Id="rId82" Type="http://schemas.openxmlformats.org/officeDocument/2006/relationships/hyperlink" Target="mailto:kamf@karnimilkfed.com" TargetMode="External"/><Relationship Id="rId385" Type="http://schemas.openxmlformats.org/officeDocument/2006/relationships/hyperlink" Target="mailto:export@parle.biz" TargetMode="External"/><Relationship Id="rId592" Type="http://schemas.openxmlformats.org/officeDocument/2006/relationships/hyperlink" Target="https://replikapress.com/" TargetMode="External"/><Relationship Id="rId606" Type="http://schemas.openxmlformats.org/officeDocument/2006/relationships/hyperlink" Target="https://csb.gov.in/" TargetMode="External"/><Relationship Id="rId813" Type="http://schemas.openxmlformats.org/officeDocument/2006/relationships/hyperlink" Target="mailto:export@libertyshoes.com" TargetMode="External"/><Relationship Id="rId245" Type="http://schemas.openxmlformats.org/officeDocument/2006/relationships/hyperlink" Target="https://itcportal.com/" TargetMode="External"/><Relationship Id="rId452" Type="http://schemas.openxmlformats.org/officeDocument/2006/relationships/hyperlink" Target="mailto:clfma@clfma.org" TargetMode="External"/><Relationship Id="rId897" Type="http://schemas.openxmlformats.org/officeDocument/2006/relationships/hyperlink" Target="https://laopala.in/" TargetMode="External"/><Relationship Id="rId105" Type="http://schemas.openxmlformats.org/officeDocument/2006/relationships/hyperlink" Target="mailto:info@alshafa.in" TargetMode="External"/><Relationship Id="rId312" Type="http://schemas.openxmlformats.org/officeDocument/2006/relationships/hyperlink" Target="mailto:info@konbac.com" TargetMode="External"/><Relationship Id="rId757" Type="http://schemas.openxmlformats.org/officeDocument/2006/relationships/hyperlink" Target="mailto:export@kprmill.com" TargetMode="External"/><Relationship Id="rId964" Type="http://schemas.openxmlformats.org/officeDocument/2006/relationships/hyperlink" Target="https://mlramnarain.com/" TargetMode="External"/><Relationship Id="rId93" Type="http://schemas.openxmlformats.org/officeDocument/2006/relationships/hyperlink" Target="https://apeda.gov.in/" TargetMode="External"/><Relationship Id="rId189" Type="http://schemas.openxmlformats.org/officeDocument/2006/relationships/hyperlink" Target="mailto:mail@indianspices.com" TargetMode="External"/><Relationship Id="rId396" Type="http://schemas.openxmlformats.org/officeDocument/2006/relationships/hyperlink" Target="https://mtrfoods.com/" TargetMode="External"/><Relationship Id="rId617" Type="http://schemas.openxmlformats.org/officeDocument/2006/relationships/hyperlink" Target="mailto:silkmark@csb.gov.in" TargetMode="External"/><Relationship Id="rId824" Type="http://schemas.openxmlformats.org/officeDocument/2006/relationships/hyperlink" Target="https://campusactivewear.com/" TargetMode="External"/><Relationship Id="rId256" Type="http://schemas.openxmlformats.org/officeDocument/2006/relationships/hyperlink" Target="https://riddhisiddhi.co.in/" TargetMode="External"/><Relationship Id="rId463" Type="http://schemas.openxmlformats.org/officeDocument/2006/relationships/hyperlink" Target="https://ibgroup.co.in/" TargetMode="External"/><Relationship Id="rId670" Type="http://schemas.openxmlformats.org/officeDocument/2006/relationships/hyperlink" Target="https://bhilosa.com/" TargetMode="External"/><Relationship Id="rId116" Type="http://schemas.openxmlformats.org/officeDocument/2006/relationships/hyperlink" Target="mailto:info@karuturi.com" TargetMode="External"/><Relationship Id="rId323" Type="http://schemas.openxmlformats.org/officeDocument/2006/relationships/hyperlink" Target="https://motherdairy.com/" TargetMode="External"/><Relationship Id="rId530" Type="http://schemas.openxmlformats.org/officeDocument/2006/relationships/hyperlink" Target="mailto:director_iwst@icar.gov.in" TargetMode="External"/><Relationship Id="rId768" Type="http://schemas.openxmlformats.org/officeDocument/2006/relationships/hyperlink" Target="mailto:info@aepcindia.com" TargetMode="External"/><Relationship Id="rId20" Type="http://schemas.openxmlformats.org/officeDocument/2006/relationships/hyperlink" Target="mailto:info@sugunafoods.com" TargetMode="External"/><Relationship Id="rId628" Type="http://schemas.openxmlformats.org/officeDocument/2006/relationships/hyperlink" Target="mailto:info@wooltop.in" TargetMode="External"/><Relationship Id="rId835" Type="http://schemas.openxmlformats.org/officeDocument/2006/relationships/hyperlink" Target="https://nift.ac.in/" TargetMode="External"/><Relationship Id="rId267" Type="http://schemas.openxmlformats.org/officeDocument/2006/relationships/hyperlink" Target="mailto:india@olamnet.com" TargetMode="External"/><Relationship Id="rId474" Type="http://schemas.openxmlformats.org/officeDocument/2006/relationships/hyperlink" Target="https://leatherindia.org/" TargetMode="External"/><Relationship Id="rId127" Type="http://schemas.openxmlformats.org/officeDocument/2006/relationships/hyperlink" Target="mailto:director.iihr@icar.gov.in" TargetMode="External"/><Relationship Id="rId681" Type="http://schemas.openxmlformats.org/officeDocument/2006/relationships/hyperlink" Target="https://bombaydyeing.com/" TargetMode="External"/><Relationship Id="rId779" Type="http://schemas.openxmlformats.org/officeDocument/2006/relationships/hyperlink" Target="https://gokaldasexports.com/" TargetMode="External"/><Relationship Id="rId902" Type="http://schemas.openxmlformats.org/officeDocument/2006/relationships/hyperlink" Target="mailto:surat@gjepcindia.com" TargetMode="External"/><Relationship Id="rId31" Type="http://schemas.openxmlformats.org/officeDocument/2006/relationships/hyperlink" Target="https://mpeda.gov.in/" TargetMode="External"/><Relationship Id="rId334" Type="http://schemas.openxmlformats.org/officeDocument/2006/relationships/hyperlink" Target="mailto:director.ndri@icar.gov.in" TargetMode="External"/><Relationship Id="rId541" Type="http://schemas.openxmlformats.org/officeDocument/2006/relationships/hyperlink" Target="https://basketsofindia.com/" TargetMode="External"/><Relationship Id="rId639" Type="http://schemas.openxmlformats.org/officeDocument/2006/relationships/hyperlink" Target="mailto:export@nitinspinners.com" TargetMode="External"/><Relationship Id="rId180" Type="http://schemas.openxmlformats.org/officeDocument/2006/relationships/hyperlink" Target="https://pisumfoods.com/" TargetMode="External"/><Relationship Id="rId278" Type="http://schemas.openxmlformats.org/officeDocument/2006/relationships/hyperlink" Target="https://ldc.com/" TargetMode="External"/><Relationship Id="rId401" Type="http://schemas.openxmlformats.org/officeDocument/2006/relationships/hyperlink" Target="mailto:director@cftri.res.in" TargetMode="External"/><Relationship Id="rId846" Type="http://schemas.openxmlformats.org/officeDocument/2006/relationships/hyperlink" Target="mailto:ncdpd@ncdpd.in" TargetMode="External"/><Relationship Id="rId485" Type="http://schemas.openxmlformats.org/officeDocument/2006/relationships/hyperlink" Target="https://khexports.com/" TargetMode="External"/><Relationship Id="rId692" Type="http://schemas.openxmlformats.org/officeDocument/2006/relationships/hyperlink" Target="mailto:export@favouritefab.com" TargetMode="External"/><Relationship Id="rId706" Type="http://schemas.openxmlformats.org/officeDocument/2006/relationships/hyperlink" Target="https://shardaexports.net/" TargetMode="External"/><Relationship Id="rId913" Type="http://schemas.openxmlformats.org/officeDocument/2006/relationships/hyperlink" Target="mailto:info@rajeshindia.com" TargetMode="External"/><Relationship Id="rId42" Type="http://schemas.openxmlformats.org/officeDocument/2006/relationships/hyperlink" Target="https://cift.icar.gov.in/" TargetMode="External"/><Relationship Id="rId138" Type="http://schemas.openxmlformats.org/officeDocument/2006/relationships/hyperlink" Target="https://ppqs.gov.in/" TargetMode="External"/><Relationship Id="rId345" Type="http://schemas.openxmlformats.org/officeDocument/2006/relationships/hyperlink" Target="mailto:info@sumeru.net" TargetMode="External"/><Relationship Id="rId552" Type="http://schemas.openxmlformats.org/officeDocument/2006/relationships/hyperlink" Target="https://westcoastpaper.com/" TargetMode="External"/><Relationship Id="rId191" Type="http://schemas.openxmlformats.org/officeDocument/2006/relationships/hyperlink" Target="mailto:sbro.mumbai@nic.in" TargetMode="External"/><Relationship Id="rId205" Type="http://schemas.openxmlformats.org/officeDocument/2006/relationships/hyperlink" Target="mailto:info@vkcgroup.com" TargetMode="External"/><Relationship Id="rId412" Type="http://schemas.openxmlformats.org/officeDocument/2006/relationships/hyperlink" Target="https://foodsandinns.com/" TargetMode="External"/><Relationship Id="rId857" Type="http://schemas.openxmlformats.org/officeDocument/2006/relationships/hyperlink" Target="mailto:aigsa@aigsa.org" TargetMode="External"/><Relationship Id="rId289" Type="http://schemas.openxmlformats.org/officeDocument/2006/relationships/hyperlink" Target="mailto:info@vikaswsp.com" TargetMode="External"/><Relationship Id="rId496" Type="http://schemas.openxmlformats.org/officeDocument/2006/relationships/hyperlink" Target="mailto:export@damilano.com" TargetMode="External"/><Relationship Id="rId717" Type="http://schemas.openxmlformats.org/officeDocument/2006/relationships/hyperlink" Target="https://premcoglobal.com/" TargetMode="External"/><Relationship Id="rId924" Type="http://schemas.openxmlformats.org/officeDocument/2006/relationships/hyperlink" Target="mailto:info@tapariatools.com" TargetMode="External"/><Relationship Id="rId53" Type="http://schemas.openxmlformats.org/officeDocument/2006/relationships/hyperlink" Target="mailto:info@ifbagro.in" TargetMode="External"/><Relationship Id="rId149" Type="http://schemas.openxmlformats.org/officeDocument/2006/relationships/hyperlink" Target="mailto:olive@oliveintl.com" TargetMode="External"/><Relationship Id="rId356" Type="http://schemas.openxmlformats.org/officeDocument/2006/relationships/hyperlink" Target="https://dhampur.com/" TargetMode="External"/><Relationship Id="rId563" Type="http://schemas.openxmlformats.org/officeDocument/2006/relationships/hyperlink" Target="mailto:info@capexil.in" TargetMode="External"/><Relationship Id="rId770" Type="http://schemas.openxmlformats.org/officeDocument/2006/relationships/hyperlink" Target="mailto:info@cmai.in" TargetMode="External"/><Relationship Id="rId216" Type="http://schemas.openxmlformats.org/officeDocument/2006/relationships/hyperlink" Target="https://apeda.gov.in/" TargetMode="External"/><Relationship Id="rId423" Type="http://schemas.openxmlformats.org/officeDocument/2006/relationships/hyperlink" Target="mailto:info@tropolite.com" TargetMode="External"/><Relationship Id="rId868" Type="http://schemas.openxmlformats.org/officeDocument/2006/relationships/hyperlink" Target="mailto:info@madhavmarble.com" TargetMode="External"/><Relationship Id="rId630" Type="http://schemas.openxmlformats.org/officeDocument/2006/relationships/hyperlink" Target="https://cotcorp.org.in/" TargetMode="External"/><Relationship Id="rId728" Type="http://schemas.openxmlformats.org/officeDocument/2006/relationships/hyperlink" Target="https://mehler-texnologies.com/" TargetMode="External"/><Relationship Id="rId935" Type="http://schemas.openxmlformats.org/officeDocument/2006/relationships/hyperlink" Target="mailto:info@epch.in" TargetMode="External"/><Relationship Id="rId64" Type="http://schemas.openxmlformats.org/officeDocument/2006/relationships/hyperlink" Target="mailto:md@nddb.coop" TargetMode="External"/><Relationship Id="rId367" Type="http://schemas.openxmlformats.org/officeDocument/2006/relationships/hyperlink" Target="https://apeda.gov.in/" TargetMode="External"/><Relationship Id="rId574" Type="http://schemas.openxmlformats.org/officeDocument/2006/relationships/hyperlink" Target="https://itcportal.com/" TargetMode="External"/><Relationship Id="rId227" Type="http://schemas.openxmlformats.org/officeDocument/2006/relationships/hyperlink" Target="mailto:info@acjl.in" TargetMode="External"/><Relationship Id="rId781" Type="http://schemas.openxmlformats.org/officeDocument/2006/relationships/hyperlink" Target="https://orientcraft.com/" TargetMode="External"/><Relationship Id="rId879" Type="http://schemas.openxmlformats.org/officeDocument/2006/relationships/hyperlink" Target="https://somanyceramics.com/" TargetMode="External"/><Relationship Id="rId434" Type="http://schemas.openxmlformats.org/officeDocument/2006/relationships/hyperlink" Target="https://capitalfoods.co.in/" TargetMode="External"/><Relationship Id="rId641" Type="http://schemas.openxmlformats.org/officeDocument/2006/relationships/hyperlink" Target="mailto:export@owmnahar.com" TargetMode="External"/><Relationship Id="rId739" Type="http://schemas.openxmlformats.org/officeDocument/2006/relationships/hyperlink" Target="https://owmnahar.com/" TargetMode="External"/><Relationship Id="rId280" Type="http://schemas.openxmlformats.org/officeDocument/2006/relationships/hyperlink" Target="https://dgr.icar.gov.in/" TargetMode="External"/><Relationship Id="rId501" Type="http://schemas.openxmlformats.org/officeDocument/2006/relationships/hyperlink" Target="mailto:goods@farida.com" TargetMode="External"/><Relationship Id="rId946" Type="http://schemas.openxmlformats.org/officeDocument/2006/relationships/hyperlink" Target="https://ncdpd.in/" TargetMode="External"/><Relationship Id="rId75" Type="http://schemas.openxmlformats.org/officeDocument/2006/relationships/hyperlink" Target="https://amul.com/" TargetMode="External"/><Relationship Id="rId140" Type="http://schemas.openxmlformats.org/officeDocument/2006/relationships/hyperlink" Target="https://jains.com/" TargetMode="External"/><Relationship Id="rId378" Type="http://schemas.openxmlformats.org/officeDocument/2006/relationships/hyperlink" Target="mailto:info@synthite.com" TargetMode="External"/><Relationship Id="rId585" Type="http://schemas.openxmlformats.org/officeDocument/2006/relationships/hyperlink" Target="mailto:info@capexil.in" TargetMode="External"/><Relationship Id="rId792" Type="http://schemas.openxmlformats.org/officeDocument/2006/relationships/hyperlink" Target="https://pdexcil.org/" TargetMode="External"/><Relationship Id="rId806" Type="http://schemas.openxmlformats.org/officeDocument/2006/relationships/hyperlink" Target="https://textilescommittee.nic.in/" TargetMode="External"/><Relationship Id="rId6" Type="http://schemas.openxmlformats.org/officeDocument/2006/relationships/hyperlink" Target="https://eicindia.gov.in/" TargetMode="External"/><Relationship Id="rId238" Type="http://schemas.openxmlformats.org/officeDocument/2006/relationships/hyperlink" Target="mailto:info@adaniwilmar.com" TargetMode="External"/><Relationship Id="rId445" Type="http://schemas.openxmlformats.org/officeDocument/2006/relationships/hyperlink" Target="https://mane.com/" TargetMode="External"/><Relationship Id="rId652" Type="http://schemas.openxmlformats.org/officeDocument/2006/relationships/hyperlink" Target="https://jci.gov.in/" TargetMode="External"/><Relationship Id="rId291" Type="http://schemas.openxmlformats.org/officeDocument/2006/relationships/hyperlink" Target="mailto:info@hindustangums.com" TargetMode="External"/><Relationship Id="rId305" Type="http://schemas.openxmlformats.org/officeDocument/2006/relationships/hyperlink" Target="mailto:info@epch.in" TargetMode="External"/><Relationship Id="rId512" Type="http://schemas.openxmlformats.org/officeDocument/2006/relationships/hyperlink" Target="https://bhartiyainternational.com/" TargetMode="External"/><Relationship Id="rId957" Type="http://schemas.openxmlformats.org/officeDocument/2006/relationships/hyperlink" Target="mailto:info@sgepc.in" TargetMode="External"/><Relationship Id="rId86" Type="http://schemas.openxmlformats.org/officeDocument/2006/relationships/hyperlink" Target="mailto:info@utmt.in" TargetMode="External"/><Relationship Id="rId151" Type="http://schemas.openxmlformats.org/officeDocument/2006/relationships/hyperlink" Target="https://iivr.icar.gov.in/" TargetMode="External"/><Relationship Id="rId389" Type="http://schemas.openxmlformats.org/officeDocument/2006/relationships/hyperlink" Target="mailto:export@unibicfoods.com" TargetMode="External"/><Relationship Id="rId596" Type="http://schemas.openxmlformats.org/officeDocument/2006/relationships/hyperlink" Target="https://parksonsgraphics.com/" TargetMode="External"/><Relationship Id="rId817" Type="http://schemas.openxmlformats.org/officeDocument/2006/relationships/hyperlink" Target="mailto:export@mirza.co.in" TargetMode="External"/><Relationship Id="rId249" Type="http://schemas.openxmlformats.org/officeDocument/2006/relationships/hyperlink" Target="https://bansalgroup.in/" TargetMode="External"/><Relationship Id="rId456" Type="http://schemas.openxmlformats.org/officeDocument/2006/relationships/hyperlink" Target="https://avantifeeds.com/" TargetMode="External"/><Relationship Id="rId663" Type="http://schemas.openxmlformats.org/officeDocument/2006/relationships/hyperlink" Target="https://srtepc.in/" TargetMode="External"/><Relationship Id="rId870" Type="http://schemas.openxmlformats.org/officeDocument/2006/relationships/hyperlink" Target="mailto:info@capexil.in" TargetMode="External"/><Relationship Id="rId13" Type="http://schemas.openxmlformats.org/officeDocument/2006/relationships/hyperlink" Target="https://allanasons.com/" TargetMode="External"/><Relationship Id="rId109" Type="http://schemas.openxmlformats.org/officeDocument/2006/relationships/hyperlink" Target="https://nrcp.icar.gov.in/" TargetMode="External"/><Relationship Id="rId316" Type="http://schemas.openxmlformats.org/officeDocument/2006/relationships/hyperlink" Target="mailto:chairman@apeda.gov.in" TargetMode="External"/><Relationship Id="rId523" Type="http://schemas.openxmlformats.org/officeDocument/2006/relationships/hyperlink" Target="mailto:export@archidply.com" TargetMode="External"/><Relationship Id="rId968" Type="http://schemas.openxmlformats.org/officeDocument/2006/relationships/hyperlink" Target="https://khadiindia.net/" TargetMode="External"/><Relationship Id="rId97" Type="http://schemas.openxmlformats.org/officeDocument/2006/relationships/hyperlink" Target="https://gelatin.in/" TargetMode="External"/><Relationship Id="rId730" Type="http://schemas.openxmlformats.org/officeDocument/2006/relationships/hyperlink" Target="https://kusumgar.com/" TargetMode="External"/><Relationship Id="rId828" Type="http://schemas.openxmlformats.org/officeDocument/2006/relationships/hyperlink" Target="https://fddiindia.com/" TargetMode="External"/><Relationship Id="rId162" Type="http://schemas.openxmlformats.org/officeDocument/2006/relationships/hyperlink" Target="mailto:md@nhb.gov.in" TargetMode="External"/><Relationship Id="rId467" Type="http://schemas.openxmlformats.org/officeDocument/2006/relationships/hyperlink" Target="mailto:director.nianp@icar.gov.in" TargetMode="External"/><Relationship Id="rId674" Type="http://schemas.openxmlformats.org/officeDocument/2006/relationships/hyperlink" Target="https://srtepc.in/" TargetMode="External"/><Relationship Id="rId881" Type="http://schemas.openxmlformats.org/officeDocument/2006/relationships/hyperlink" Target="https://kajariaceramics.com/" TargetMode="External"/><Relationship Id="rId24" Type="http://schemas.openxmlformats.org/officeDocument/2006/relationships/hyperlink" Target="mailto:director.nrcmeat@icar.gov.in" TargetMode="External"/><Relationship Id="rId327" Type="http://schemas.openxmlformats.org/officeDocument/2006/relationships/hyperlink" Target="https://paragmilkfoods.com/" TargetMode="External"/><Relationship Id="rId534" Type="http://schemas.openxmlformats.org/officeDocument/2006/relationships/hyperlink" Target="mailto:info@hindustancork.com" TargetMode="External"/><Relationship Id="rId741" Type="http://schemas.openxmlformats.org/officeDocument/2006/relationships/hyperlink" Target="https://pioneerembroideries.com/" TargetMode="External"/><Relationship Id="rId839" Type="http://schemas.openxmlformats.org/officeDocument/2006/relationships/hyperlink" Target="https://plexconcil.org/" TargetMode="External"/><Relationship Id="rId173" Type="http://schemas.openxmlformats.org/officeDocument/2006/relationships/hyperlink" Target="https://inifarms.com/" TargetMode="External"/><Relationship Id="rId380" Type="http://schemas.openxmlformats.org/officeDocument/2006/relationships/hyperlink" Target="mailto:director.cpcri@icar.gov.in" TargetMode="External"/><Relationship Id="rId601" Type="http://schemas.openxmlformats.org/officeDocument/2006/relationships/hyperlink" Target="https://brijbasi.com/" TargetMode="External"/><Relationship Id="rId240" Type="http://schemas.openxmlformats.org/officeDocument/2006/relationships/hyperlink" Target="mailto:director.iirr@icar.gov.in" TargetMode="External"/><Relationship Id="rId478" Type="http://schemas.openxmlformats.org/officeDocument/2006/relationships/hyperlink" Target="https://tatainternational.com/" TargetMode="External"/><Relationship Id="rId685" Type="http://schemas.openxmlformats.org/officeDocument/2006/relationships/hyperlink" Target="https://srtepc.in/" TargetMode="External"/><Relationship Id="rId892" Type="http://schemas.openxmlformats.org/officeDocument/2006/relationships/hyperlink" Target="mailto:director@cgcri.res.in" TargetMode="External"/><Relationship Id="rId906" Type="http://schemas.openxmlformats.org/officeDocument/2006/relationships/hyperlink" Target="mailto:info@iigj.org" TargetMode="External"/><Relationship Id="rId35" Type="http://schemas.openxmlformats.org/officeDocument/2006/relationships/hyperlink" Target="mailto:mpeda.chennai@mpeda.gov.in" TargetMode="External"/><Relationship Id="rId100" Type="http://schemas.openxmlformats.org/officeDocument/2006/relationships/hyperlink" Target="https://indiagelatine.com/" TargetMode="External"/><Relationship Id="rId338" Type="http://schemas.openxmlformats.org/officeDocument/2006/relationships/hyperlink" Target="mailto:eic@eicindia.gov.in" TargetMode="External"/><Relationship Id="rId545" Type="http://schemas.openxmlformats.org/officeDocument/2006/relationships/hyperlink" Target="https://capexil.org/" TargetMode="External"/><Relationship Id="rId752" Type="http://schemas.openxmlformats.org/officeDocument/2006/relationships/hyperlink" Target="https://tirupurexporters.com/" TargetMode="External"/><Relationship Id="rId184" Type="http://schemas.openxmlformats.org/officeDocument/2006/relationships/hyperlink" Target="https://nrcgrapes.icar.gov.in/" TargetMode="External"/><Relationship Id="rId391" Type="http://schemas.openxmlformats.org/officeDocument/2006/relationships/hyperlink" Target="https://biskfarm.com/" TargetMode="External"/><Relationship Id="rId405" Type="http://schemas.openxmlformats.org/officeDocument/2006/relationships/hyperlink" Target="mailto:info@fieldfreshfoods.in" TargetMode="External"/><Relationship Id="rId612" Type="http://schemas.openxmlformats.org/officeDocument/2006/relationships/hyperlink" Target="https://jharcraft.in/" TargetMode="External"/><Relationship Id="rId251" Type="http://schemas.openxmlformats.org/officeDocument/2006/relationships/hyperlink" Target="https://shaktibhog.com/" TargetMode="External"/><Relationship Id="rId489" Type="http://schemas.openxmlformats.org/officeDocument/2006/relationships/hyperlink" Target="https://leatherindia.org/" TargetMode="External"/><Relationship Id="rId696" Type="http://schemas.openxmlformats.org/officeDocument/2006/relationships/hyperlink" Target="https://sasmira.org/" TargetMode="External"/><Relationship Id="rId917" Type="http://schemas.openxmlformats.org/officeDocument/2006/relationships/hyperlink" Target="mailto:info@epch.in" TargetMode="External"/><Relationship Id="rId46" Type="http://schemas.openxmlformats.org/officeDocument/2006/relationships/hyperlink" Target="https://nekkantiseafoods.com/" TargetMode="External"/><Relationship Id="rId349" Type="http://schemas.openxmlformats.org/officeDocument/2006/relationships/hyperlink" Target="https://hyfunfoods.com/" TargetMode="External"/><Relationship Id="rId556" Type="http://schemas.openxmlformats.org/officeDocument/2006/relationships/hyperlink" Target="https://spbltd.com/" TargetMode="External"/><Relationship Id="rId763" Type="http://schemas.openxmlformats.org/officeDocument/2006/relationships/hyperlink" Target="mailto:export@pearlglobal.com" TargetMode="External"/><Relationship Id="rId111" Type="http://schemas.openxmlformats.org/officeDocument/2006/relationships/hyperlink" Target="https://eicindia.gov.in/" TargetMode="External"/><Relationship Id="rId195" Type="http://schemas.openxmlformats.org/officeDocument/2006/relationships/hyperlink" Target="mailto:sbro.kochi@nic.in" TargetMode="External"/><Relationship Id="rId209" Type="http://schemas.openxmlformats.org/officeDocument/2006/relationships/hyperlink" Target="mailto:spices@allanasons.com" TargetMode="External"/><Relationship Id="rId416" Type="http://schemas.openxmlformats.org/officeDocument/2006/relationships/hyperlink" Target="https://nilons.com/" TargetMode="External"/><Relationship Id="rId970" Type="http://schemas.openxmlformats.org/officeDocument/2006/relationships/hyperlink" Target="mailto:director@cimap.res.in" TargetMode="External"/><Relationship Id="rId623" Type="http://schemas.openxmlformats.org/officeDocument/2006/relationships/hyperlink" Target="mailto:bhuttico@gmail.com" TargetMode="External"/><Relationship Id="rId830" Type="http://schemas.openxmlformats.org/officeDocument/2006/relationships/hyperlink" Target="https://epch.in/" TargetMode="External"/><Relationship Id="rId928" Type="http://schemas.openxmlformats.org/officeDocument/2006/relationships/hyperlink" Target="https://capexil.in/" TargetMode="External"/><Relationship Id="rId57" Type="http://schemas.openxmlformats.org/officeDocument/2006/relationships/hyperlink" Target="https://sandhyamarines.com/" TargetMode="External"/><Relationship Id="rId262" Type="http://schemas.openxmlformats.org/officeDocument/2006/relationships/hyperlink" Target="mailto:info@iocepc.org" TargetMode="External"/><Relationship Id="rId567" Type="http://schemas.openxmlformats.org/officeDocument/2006/relationships/hyperlink" Target="mailto:jkpaper@jkmail.com" TargetMode="External"/><Relationship Id="rId122" Type="http://schemas.openxmlformats.org/officeDocument/2006/relationships/hyperlink" Target="https://indamseeds.com/" TargetMode="External"/><Relationship Id="rId774" Type="http://schemas.openxmlformats.org/officeDocument/2006/relationships/hyperlink" Target="mailto:export@arvind.com" TargetMode="External"/><Relationship Id="rId427" Type="http://schemas.openxmlformats.org/officeDocument/2006/relationships/hyperlink" Target="mailto:chairman@apeda.gov.in" TargetMode="External"/><Relationship Id="rId634" Type="http://schemas.openxmlformats.org/officeDocument/2006/relationships/hyperlink" Target="https://caionline.in/" TargetMode="External"/><Relationship Id="rId841" Type="http://schemas.openxmlformats.org/officeDocument/2006/relationships/hyperlink" Target="https://alokind.com/" TargetMode="External"/><Relationship Id="rId273" Type="http://schemas.openxmlformats.org/officeDocument/2006/relationships/hyperlink" Target="mailto:info@gokulagro.com" TargetMode="External"/><Relationship Id="rId480" Type="http://schemas.openxmlformats.org/officeDocument/2006/relationships/hyperlink" Target="https://mirza.co.in/" TargetMode="External"/><Relationship Id="rId701" Type="http://schemas.openxmlformats.org/officeDocument/2006/relationships/hyperlink" Target="mailto:export@obeetee.com" TargetMode="External"/><Relationship Id="rId939" Type="http://schemas.openxmlformats.org/officeDocument/2006/relationships/hyperlink" Target="mailto:nid@nid.edu" TargetMode="External"/><Relationship Id="rId68" Type="http://schemas.openxmlformats.org/officeDocument/2006/relationships/hyperlink" Target="mailto:info@ibgroup.co.in" TargetMode="External"/><Relationship Id="rId133" Type="http://schemas.openxmlformats.org/officeDocument/2006/relationships/hyperlink" Target="mailto:apeda-hyd@apeda.gov.in" TargetMode="External"/><Relationship Id="rId340" Type="http://schemas.openxmlformats.org/officeDocument/2006/relationships/hyperlink" Target="mailto:rte@allanasons.com" TargetMode="External"/><Relationship Id="rId578" Type="http://schemas.openxmlformats.org/officeDocument/2006/relationships/hyperlink" Target="mailto:export@nragarwal.com" TargetMode="External"/><Relationship Id="rId785" Type="http://schemas.openxmlformats.org/officeDocument/2006/relationships/hyperlink" Target="https://pearlglobal.com/" TargetMode="External"/><Relationship Id="rId200" Type="http://schemas.openxmlformats.org/officeDocument/2006/relationships/hyperlink" Target="https://manekancor.com/" TargetMode="External"/><Relationship Id="rId438" Type="http://schemas.openxmlformats.org/officeDocument/2006/relationships/hyperlink" Target="https://cremica.in/" TargetMode="External"/><Relationship Id="rId645" Type="http://schemas.openxmlformats.org/officeDocument/2006/relationships/hyperlink" Target="https://welspun.com/" TargetMode="External"/><Relationship Id="rId852" Type="http://schemas.openxmlformats.org/officeDocument/2006/relationships/hyperlink" Target="https://capexil.in/" TargetMode="External"/><Relationship Id="rId284" Type="http://schemas.openxmlformats.org/officeDocument/2006/relationships/hyperlink" Target="https://apeda.gov.in/" TargetMode="External"/><Relationship Id="rId491" Type="http://schemas.openxmlformats.org/officeDocument/2006/relationships/hyperlink" Target="https://leatherindia.org/" TargetMode="External"/><Relationship Id="rId505" Type="http://schemas.openxmlformats.org/officeDocument/2006/relationships/hyperlink" Target="https://clri.org/" TargetMode="External"/><Relationship Id="rId712" Type="http://schemas.openxmlformats.org/officeDocument/2006/relationships/hyperlink" Target="https://textilescommittee.nic.in/" TargetMode="External"/><Relationship Id="rId79" Type="http://schemas.openxmlformats.org/officeDocument/2006/relationships/hyperlink" Target="https://novadairy.com/" TargetMode="External"/><Relationship Id="rId144" Type="http://schemas.openxmlformats.org/officeDocument/2006/relationships/hyperlink" Target="mailto:info@globalgreenco.com" TargetMode="External"/><Relationship Id="rId589" Type="http://schemas.openxmlformats.org/officeDocument/2006/relationships/hyperlink" Target="mailto:export@thomsonpress.com" TargetMode="External"/><Relationship Id="rId796" Type="http://schemas.openxmlformats.org/officeDocument/2006/relationships/hyperlink" Target="https://tridentindia.com/" TargetMode="External"/><Relationship Id="rId351" Type="http://schemas.openxmlformats.org/officeDocument/2006/relationships/hyperlink" Target="https://nrcmeat.icar.gov.in/" TargetMode="External"/><Relationship Id="rId449" Type="http://schemas.openxmlformats.org/officeDocument/2006/relationships/hyperlink" Target="https://ciphet.icar.gov.in/" TargetMode="External"/><Relationship Id="rId656" Type="http://schemas.openxmlformats.org/officeDocument/2006/relationships/hyperlink" Target="mailto:info@ludlowjute.com" TargetMode="External"/><Relationship Id="rId863" Type="http://schemas.openxmlformats.org/officeDocument/2006/relationships/hyperlink" Target="https://stonexindia.com/" TargetMode="External"/><Relationship Id="rId211" Type="http://schemas.openxmlformats.org/officeDocument/2006/relationships/hyperlink" Target="mailto:info@akay-group.com" TargetMode="External"/><Relationship Id="rId295" Type="http://schemas.openxmlformats.org/officeDocument/2006/relationships/hyperlink" Target="mailto:info@ramagum.com" TargetMode="External"/><Relationship Id="rId309" Type="http://schemas.openxmlformats.org/officeDocument/2006/relationships/hyperlink" Target="https://cbtc.org.in/" TargetMode="External"/><Relationship Id="rId516" Type="http://schemas.openxmlformats.org/officeDocument/2006/relationships/hyperlink" Target="https://capexil.org/" TargetMode="External"/><Relationship Id="rId723" Type="http://schemas.openxmlformats.org/officeDocument/2006/relationships/hyperlink" Target="https://garwarefibres.com/" TargetMode="External"/><Relationship Id="rId930" Type="http://schemas.openxmlformats.org/officeDocument/2006/relationships/hyperlink" Target="https://escindia.in/" TargetMode="External"/><Relationship Id="rId155" Type="http://schemas.openxmlformats.org/officeDocument/2006/relationships/hyperlink" Target="https://apeda.gov.in/" TargetMode="External"/><Relationship Id="rId362" Type="http://schemas.openxmlformats.org/officeDocument/2006/relationships/hyperlink" Target="mailto:export@organicindia.com" TargetMode="External"/><Relationship Id="rId222" Type="http://schemas.openxmlformats.org/officeDocument/2006/relationships/hyperlink" Target="https://krblrice.com/" TargetMode="External"/><Relationship Id="rId667" Type="http://schemas.openxmlformats.org/officeDocument/2006/relationships/hyperlink" Target="https://alokind.com/" TargetMode="External"/><Relationship Id="rId874" Type="http://schemas.openxmlformats.org/officeDocument/2006/relationships/hyperlink" Target="mailto:info@icctas.com" TargetMode="External"/><Relationship Id="rId17" Type="http://schemas.openxmlformats.org/officeDocument/2006/relationships/hyperlink" Target="https://alnoorexports.com/" TargetMode="External"/><Relationship Id="rId527" Type="http://schemas.openxmlformats.org/officeDocument/2006/relationships/hyperlink" Target="mailto:export@rushil.com" TargetMode="External"/><Relationship Id="rId734" Type="http://schemas.openxmlformats.org/officeDocument/2006/relationships/hyperlink" Target="mailto:tea@tirupurexporters.com" TargetMode="External"/><Relationship Id="rId941" Type="http://schemas.openxmlformats.org/officeDocument/2006/relationships/hyperlink" Target="mailto:info@rikhiram.com" TargetMode="External"/><Relationship Id="rId70" Type="http://schemas.openxmlformats.org/officeDocument/2006/relationships/hyperlink" Target="mailto:info@venkys.com" TargetMode="External"/><Relationship Id="rId166" Type="http://schemas.openxmlformats.org/officeDocument/2006/relationships/hyperlink" Target="mailto:info@sahyadrifarms.com" TargetMode="External"/><Relationship Id="rId373" Type="http://schemas.openxmlformats.org/officeDocument/2006/relationships/hyperlink" Target="https://lotuschocolate.com/" TargetMode="External"/><Relationship Id="rId580" Type="http://schemas.openxmlformats.org/officeDocument/2006/relationships/hyperlink" Target="mailto:export@emamipaper.in" TargetMode="External"/><Relationship Id="rId801" Type="http://schemas.openxmlformats.org/officeDocument/2006/relationships/hyperlink" Target="mailto:export@ghcl.co.in" TargetMode="External"/><Relationship Id="rId1" Type="http://schemas.openxmlformats.org/officeDocument/2006/relationships/hyperlink" Target="mailto:apeda-mumbai@apeda.gov.in" TargetMode="External"/><Relationship Id="rId233" Type="http://schemas.openxmlformats.org/officeDocument/2006/relationships/hyperlink" Target="mailto:info@sunstaroverseas.com" TargetMode="External"/><Relationship Id="rId440" Type="http://schemas.openxmlformats.org/officeDocument/2006/relationships/hyperlink" Target="https://hamdard.in/" TargetMode="External"/><Relationship Id="rId678" Type="http://schemas.openxmlformats.org/officeDocument/2006/relationships/hyperlink" Target="https://pasupatiacrylon.com/" TargetMode="External"/><Relationship Id="rId885" Type="http://schemas.openxmlformats.org/officeDocument/2006/relationships/hyperlink" Target="https://asiangranito.com/" TargetMode="External"/><Relationship Id="rId28" Type="http://schemas.openxmlformats.org/officeDocument/2006/relationships/hyperlink" Target="mailto:mpeda.vijayawada@mpeda.gov.in" TargetMode="External"/><Relationship Id="rId300" Type="http://schemas.openxmlformats.org/officeDocument/2006/relationships/hyperlink" Target="https://altrafine.com/" TargetMode="External"/><Relationship Id="rId538" Type="http://schemas.openxmlformats.org/officeDocument/2006/relationships/hyperlink" Target="https://cbtc.org.in/" TargetMode="External"/><Relationship Id="rId745" Type="http://schemas.openxmlformats.org/officeDocument/2006/relationships/hyperlink" Target="https://alokind.com/" TargetMode="External"/><Relationship Id="rId952" Type="http://schemas.openxmlformats.org/officeDocument/2006/relationships/hyperlink" Target="https://zuarifurniture.com/" TargetMode="External"/><Relationship Id="rId81" Type="http://schemas.openxmlformats.org/officeDocument/2006/relationships/hyperlink" Target="https://paragmilkfoods.com/" TargetMode="External"/><Relationship Id="rId177" Type="http://schemas.openxmlformats.org/officeDocument/2006/relationships/hyperlink" Target="mailto:info@geewinexim.com" TargetMode="External"/><Relationship Id="rId384" Type="http://schemas.openxmlformats.org/officeDocument/2006/relationships/hyperlink" Target="https://britannia.co.in/" TargetMode="External"/><Relationship Id="rId591" Type="http://schemas.openxmlformats.org/officeDocument/2006/relationships/hyperlink" Target="mailto:export@replika.in" TargetMode="External"/><Relationship Id="rId605" Type="http://schemas.openxmlformats.org/officeDocument/2006/relationships/hyperlink" Target="mailto:sepc@csb.gov.in" TargetMode="External"/><Relationship Id="rId812" Type="http://schemas.openxmlformats.org/officeDocument/2006/relationships/hyperlink" Target="https://bata.in/" TargetMode="External"/><Relationship Id="rId244" Type="http://schemas.openxmlformats.org/officeDocument/2006/relationships/hyperlink" Target="https://dgft.gov.in/" TargetMode="External"/><Relationship Id="rId689" Type="http://schemas.openxmlformats.org/officeDocument/2006/relationships/hyperlink" Target="https://ginnifilaments.com/" TargetMode="External"/><Relationship Id="rId896" Type="http://schemas.openxmlformats.org/officeDocument/2006/relationships/hyperlink" Target="mailto:info@laopala.in" TargetMode="External"/><Relationship Id="rId39" Type="http://schemas.openxmlformats.org/officeDocument/2006/relationships/hyperlink" Target="mailto:info.nfdb@nic.in" TargetMode="External"/><Relationship Id="rId451" Type="http://schemas.openxmlformats.org/officeDocument/2006/relationships/hyperlink" Target="https://apeda.gov.in/" TargetMode="External"/><Relationship Id="rId549" Type="http://schemas.openxmlformats.org/officeDocument/2006/relationships/hyperlink" Target="mailto:jkpaper@jkmail.com" TargetMode="External"/><Relationship Id="rId756" Type="http://schemas.openxmlformats.org/officeDocument/2006/relationships/hyperlink" Target="https://gokaldasexports.com/" TargetMode="External"/><Relationship Id="rId104" Type="http://schemas.openxmlformats.org/officeDocument/2006/relationships/hyperlink" Target="https://narmadagelatines.com/" TargetMode="External"/><Relationship Id="rId188" Type="http://schemas.openxmlformats.org/officeDocument/2006/relationships/hyperlink" Target="https://apeda.gov.in/" TargetMode="External"/><Relationship Id="rId311" Type="http://schemas.openxmlformats.org/officeDocument/2006/relationships/hyperlink" Target="mailto:info@greengoldbamboo.com" TargetMode="External"/><Relationship Id="rId395" Type="http://schemas.openxmlformats.org/officeDocument/2006/relationships/hyperlink" Target="https://bikaji.com/" TargetMode="External"/><Relationship Id="rId409" Type="http://schemas.openxmlformats.org/officeDocument/2006/relationships/hyperlink" Target="mailto:info@shimlahills.com" TargetMode="External"/><Relationship Id="rId963" Type="http://schemas.openxmlformats.org/officeDocument/2006/relationships/hyperlink" Target="mailto:info@mlramnarain.com" TargetMode="External"/><Relationship Id="rId92" Type="http://schemas.openxmlformats.org/officeDocument/2006/relationships/hyperlink" Target="mailto:chairman@apeda.gov.in" TargetMode="External"/><Relationship Id="rId616" Type="http://schemas.openxmlformats.org/officeDocument/2006/relationships/hyperlink" Target="https://ksicsilk.com/" TargetMode="External"/><Relationship Id="rId823" Type="http://schemas.openxmlformats.org/officeDocument/2006/relationships/hyperlink" Target="mailto:export@campusactivewear.com" TargetMode="External"/><Relationship Id="rId255" Type="http://schemas.openxmlformats.org/officeDocument/2006/relationships/hyperlink" Target="mailto:info@riddhisiddhi.co.in" TargetMode="External"/><Relationship Id="rId462" Type="http://schemas.openxmlformats.org/officeDocument/2006/relationships/hyperlink" Target="mailto:info@ibgroupco.in" TargetMode="External"/><Relationship Id="rId115" Type="http://schemas.openxmlformats.org/officeDocument/2006/relationships/hyperlink" Target="https://ppqs.gov.in/" TargetMode="External"/><Relationship Id="rId157" Type="http://schemas.openxmlformats.org/officeDocument/2006/relationships/hyperlink" Target="https://apeda.gov.in/" TargetMode="External"/><Relationship Id="rId322" Type="http://schemas.openxmlformats.org/officeDocument/2006/relationships/hyperlink" Target="mailto:feedback@motherdairy.com" TargetMode="External"/><Relationship Id="rId364" Type="http://schemas.openxmlformats.org/officeDocument/2006/relationships/hyperlink" Target="mailto:director@niftem.ac.in" TargetMode="External"/><Relationship Id="rId767" Type="http://schemas.openxmlformats.org/officeDocument/2006/relationships/hyperlink" Target="https://nift.ac.in/" TargetMode="External"/><Relationship Id="rId61" Type="http://schemas.openxmlformats.org/officeDocument/2006/relationships/hyperlink" Target="https://bmrgroup.in/" TargetMode="External"/><Relationship Id="rId199" Type="http://schemas.openxmlformats.org/officeDocument/2006/relationships/hyperlink" Target="mailto:info@manekancor.com" TargetMode="External"/><Relationship Id="rId571" Type="http://schemas.openxmlformats.org/officeDocument/2006/relationships/hyperlink" Target="https://westcoastpaper.com/" TargetMode="External"/><Relationship Id="rId627" Type="http://schemas.openxmlformats.org/officeDocument/2006/relationships/hyperlink" Target="https://srkexports.com/" TargetMode="External"/><Relationship Id="rId669" Type="http://schemas.openxmlformats.org/officeDocument/2006/relationships/hyperlink" Target="https://filatex.com/" TargetMode="External"/><Relationship Id="rId834" Type="http://schemas.openxmlformats.org/officeDocument/2006/relationships/hyperlink" Target="https://dynamiccaps.com/" TargetMode="External"/><Relationship Id="rId876" Type="http://schemas.openxmlformats.org/officeDocument/2006/relationships/hyperlink" Target="mailto:director@cgcri.res.in" TargetMode="External"/><Relationship Id="rId19" Type="http://schemas.openxmlformats.org/officeDocument/2006/relationships/hyperlink" Target="https://venkys.com/" TargetMode="External"/><Relationship Id="rId224" Type="http://schemas.openxmlformats.org/officeDocument/2006/relationships/hyperlink" Target="https://ltfoods.in/" TargetMode="External"/><Relationship Id="rId266" Type="http://schemas.openxmlformats.org/officeDocument/2006/relationships/hyperlink" Target="mailto:info@dipakoils.com" TargetMode="External"/><Relationship Id="rId431" Type="http://schemas.openxmlformats.org/officeDocument/2006/relationships/hyperlink" Target="https://nestle.in/" TargetMode="External"/><Relationship Id="rId473" Type="http://schemas.openxmlformats.org/officeDocument/2006/relationships/hyperlink" Target="mailto:clekol@leatherindia.org" TargetMode="External"/><Relationship Id="rId529" Type="http://schemas.openxmlformats.org/officeDocument/2006/relationships/hyperlink" Target="https://mangalamtimber.com/" TargetMode="External"/><Relationship Id="rId680" Type="http://schemas.openxmlformats.org/officeDocument/2006/relationships/hyperlink" Target="https://grasim.com/" TargetMode="External"/><Relationship Id="rId736" Type="http://schemas.openxmlformats.org/officeDocument/2006/relationships/hyperlink" Target="mailto:export@pratibhasyntex.com" TargetMode="External"/><Relationship Id="rId901" Type="http://schemas.openxmlformats.org/officeDocument/2006/relationships/hyperlink" Target="https://gjepc.org/" TargetMode="External"/><Relationship Id="rId30" Type="http://schemas.openxmlformats.org/officeDocument/2006/relationships/hyperlink" Target="mailto:mpeda.bhubaneswar@mpeda.gov.in" TargetMode="External"/><Relationship Id="rId126" Type="http://schemas.openxmlformats.org/officeDocument/2006/relationships/hyperlink" Target="https://nrcorchids.icar.gov.in/" TargetMode="External"/><Relationship Id="rId168" Type="http://schemas.openxmlformats.org/officeDocument/2006/relationships/hyperlink" Target="mailto:info@freshtrop.com" TargetMode="External"/><Relationship Id="rId333" Type="http://schemas.openxmlformats.org/officeDocument/2006/relationships/hyperlink" Target="https://godrejagrovet.com/" TargetMode="External"/><Relationship Id="rId540" Type="http://schemas.openxmlformats.org/officeDocument/2006/relationships/hyperlink" Target="mailto:export@basketsofindia.com" TargetMode="External"/><Relationship Id="rId778" Type="http://schemas.openxmlformats.org/officeDocument/2006/relationships/hyperlink" Target="mailto:export@gokaldasexports.com" TargetMode="External"/><Relationship Id="rId943" Type="http://schemas.openxmlformats.org/officeDocument/2006/relationships/hyperlink" Target="mailto:info@epch.in" TargetMode="External"/><Relationship Id="rId72" Type="http://schemas.openxmlformats.org/officeDocument/2006/relationships/hyperlink" Target="mailto:info@westcoast.in" TargetMode="External"/><Relationship Id="rId375" Type="http://schemas.openxmlformats.org/officeDocument/2006/relationships/hyperlink" Target="mailto:export@manjilas.com" TargetMode="External"/><Relationship Id="rId582" Type="http://schemas.openxmlformats.org/officeDocument/2006/relationships/hyperlink" Target="https://ipappm.com/" TargetMode="External"/><Relationship Id="rId638" Type="http://schemas.openxmlformats.org/officeDocument/2006/relationships/hyperlink" Target="https://tridentindia.com/" TargetMode="External"/><Relationship Id="rId803" Type="http://schemas.openxmlformats.org/officeDocument/2006/relationships/hyperlink" Target="https://tridentindia.com/" TargetMode="External"/><Relationship Id="rId845" Type="http://schemas.openxmlformats.org/officeDocument/2006/relationships/hyperlink" Target="https://epch.in/" TargetMode="External"/><Relationship Id="rId3" Type="http://schemas.openxmlformats.org/officeDocument/2006/relationships/hyperlink" Target="mailto:apeda-hyd@apeda.gov.in" TargetMode="External"/><Relationship Id="rId235" Type="http://schemas.openxmlformats.org/officeDocument/2006/relationships/hyperlink" Target="https://ldc.com/" TargetMode="External"/><Relationship Id="rId277" Type="http://schemas.openxmlformats.org/officeDocument/2006/relationships/hyperlink" Target="mailto:india@louisdreyfus.com" TargetMode="External"/><Relationship Id="rId400" Type="http://schemas.openxmlformats.org/officeDocument/2006/relationships/hyperlink" Target="https://yellowdiamond.in/" TargetMode="External"/><Relationship Id="rId442" Type="http://schemas.openxmlformats.org/officeDocument/2006/relationships/hyperlink" Target="https://symrise.com/" TargetMode="External"/><Relationship Id="rId484" Type="http://schemas.openxmlformats.org/officeDocument/2006/relationships/hyperlink" Target="mailto:info@khexports.com" TargetMode="External"/><Relationship Id="rId705" Type="http://schemas.openxmlformats.org/officeDocument/2006/relationships/hyperlink" Target="mailto:info@shardaexports.net" TargetMode="External"/><Relationship Id="rId887" Type="http://schemas.openxmlformats.org/officeDocument/2006/relationships/hyperlink" Target="https://capexil.in/" TargetMode="External"/><Relationship Id="rId137" Type="http://schemas.openxmlformats.org/officeDocument/2006/relationships/hyperlink" Target="mailto:ppa@nic.in" TargetMode="External"/><Relationship Id="rId302" Type="http://schemas.openxmlformats.org/officeDocument/2006/relationships/hyperlink" Target="https://cazri.res.in/" TargetMode="External"/><Relationship Id="rId344" Type="http://schemas.openxmlformats.org/officeDocument/2006/relationships/hyperlink" Target="https://venkys.com/" TargetMode="External"/><Relationship Id="rId691" Type="http://schemas.openxmlformats.org/officeDocument/2006/relationships/hyperlink" Target="https://pakona.com/" TargetMode="External"/><Relationship Id="rId747" Type="http://schemas.openxmlformats.org/officeDocument/2006/relationships/hyperlink" Target="mailto:sitra@vsnl.net" TargetMode="External"/><Relationship Id="rId789" Type="http://schemas.openxmlformats.org/officeDocument/2006/relationships/hyperlink" Target="mailto:hepc@hepcindia.com" TargetMode="External"/><Relationship Id="rId912" Type="http://schemas.openxmlformats.org/officeDocument/2006/relationships/hyperlink" Target="https://hk.co/" TargetMode="External"/><Relationship Id="rId954" Type="http://schemas.openxmlformats.org/officeDocument/2006/relationships/hyperlink" Target="https://epch.in/" TargetMode="External"/><Relationship Id="rId41" Type="http://schemas.openxmlformats.org/officeDocument/2006/relationships/hyperlink" Target="mailto:director.cift@icar.gov.in" TargetMode="External"/><Relationship Id="rId83" Type="http://schemas.openxmlformats.org/officeDocument/2006/relationships/hyperlink" Target="https://karnimilkfed.coop/" TargetMode="External"/><Relationship Id="rId179" Type="http://schemas.openxmlformats.org/officeDocument/2006/relationships/hyperlink" Target="mailto:info@pisumfoods.com" TargetMode="External"/><Relationship Id="rId386" Type="http://schemas.openxmlformats.org/officeDocument/2006/relationships/hyperlink" Target="https://parleproducts.com/" TargetMode="External"/><Relationship Id="rId551" Type="http://schemas.openxmlformats.org/officeDocument/2006/relationships/hyperlink" Target="mailto:export@wcpmltd.com" TargetMode="External"/><Relationship Id="rId593" Type="http://schemas.openxmlformats.org/officeDocument/2006/relationships/hyperlink" Target="mailto:export@manipaltechnologies.com" TargetMode="External"/><Relationship Id="rId607" Type="http://schemas.openxmlformats.org/officeDocument/2006/relationships/hyperlink" Target="mailto:isepc@isepcindia.com" TargetMode="External"/><Relationship Id="rId649" Type="http://schemas.openxmlformats.org/officeDocument/2006/relationships/hyperlink" Target="mailto:ijira@ijira.org" TargetMode="External"/><Relationship Id="rId814" Type="http://schemas.openxmlformats.org/officeDocument/2006/relationships/hyperlink" Target="https://libertyshoes.com/" TargetMode="External"/><Relationship Id="rId856" Type="http://schemas.openxmlformats.org/officeDocument/2006/relationships/hyperlink" Target="https://cdos-india.com/" TargetMode="External"/><Relationship Id="rId190" Type="http://schemas.openxmlformats.org/officeDocument/2006/relationships/hyperlink" Target="https://indianspices.com/" TargetMode="External"/><Relationship Id="rId204" Type="http://schemas.openxmlformats.org/officeDocument/2006/relationships/hyperlink" Target="https://eastern.in/" TargetMode="External"/><Relationship Id="rId246" Type="http://schemas.openxmlformats.org/officeDocument/2006/relationships/hyperlink" Target="https://generalmills.com/" TargetMode="External"/><Relationship Id="rId288" Type="http://schemas.openxmlformats.org/officeDocument/2006/relationships/hyperlink" Target="https://indiaglycols.com/" TargetMode="External"/><Relationship Id="rId411" Type="http://schemas.openxmlformats.org/officeDocument/2006/relationships/hyperlink" Target="mailto:info@foodsinns.com" TargetMode="External"/><Relationship Id="rId453" Type="http://schemas.openxmlformats.org/officeDocument/2006/relationships/hyperlink" Target="https://clfma.org/" TargetMode="External"/><Relationship Id="rId509" Type="http://schemas.openxmlformats.org/officeDocument/2006/relationships/hyperlink" Target="https://epch.in/" TargetMode="External"/><Relationship Id="rId660" Type="http://schemas.openxmlformats.org/officeDocument/2006/relationships/hyperlink" Target="mailto:mrlexports@mrljute.com" TargetMode="External"/><Relationship Id="rId898" Type="http://schemas.openxmlformats.org/officeDocument/2006/relationships/hyperlink" Target="mailto:info@aisglass.com" TargetMode="External"/><Relationship Id="rId106" Type="http://schemas.openxmlformats.org/officeDocument/2006/relationships/hyperlink" Target="https://alshafa.in/" TargetMode="External"/><Relationship Id="rId313" Type="http://schemas.openxmlformats.org/officeDocument/2006/relationships/hyperlink" Target="https://konbac.com/" TargetMode="External"/><Relationship Id="rId495" Type="http://schemas.openxmlformats.org/officeDocument/2006/relationships/hyperlink" Target="https://vipindustries.com/" TargetMode="External"/><Relationship Id="rId716" Type="http://schemas.openxmlformats.org/officeDocument/2006/relationships/hyperlink" Target="mailto:export@premcoglobal.com" TargetMode="External"/><Relationship Id="rId758" Type="http://schemas.openxmlformats.org/officeDocument/2006/relationships/hyperlink" Target="https://kprmilllimited.com/" TargetMode="External"/><Relationship Id="rId923" Type="http://schemas.openxmlformats.org/officeDocument/2006/relationships/hyperlink" Target="https://nid.edu/" TargetMode="External"/><Relationship Id="rId965" Type="http://schemas.openxmlformats.org/officeDocument/2006/relationships/hyperlink" Target="mailto:export@premhenna.com" TargetMode="External"/><Relationship Id="rId10" Type="http://schemas.openxmlformats.org/officeDocument/2006/relationships/hyperlink" Target="https://alkabeer.com/" TargetMode="External"/><Relationship Id="rId52" Type="http://schemas.openxmlformats.org/officeDocument/2006/relationships/hyperlink" Target="https://falconmarine.in/" TargetMode="External"/><Relationship Id="rId94" Type="http://schemas.openxmlformats.org/officeDocument/2006/relationships/hyperlink" Target="mailto:eic@eicindia.gov.in" TargetMode="External"/><Relationship Id="rId148" Type="http://schemas.openxmlformats.org/officeDocument/2006/relationships/hyperlink" Target="https://allanasons.com/" TargetMode="External"/><Relationship Id="rId355" Type="http://schemas.openxmlformats.org/officeDocument/2006/relationships/hyperlink" Target="mailto:info@dhampur.com" TargetMode="External"/><Relationship Id="rId397" Type="http://schemas.openxmlformats.org/officeDocument/2006/relationships/hyperlink" Target="mailto:export@bikanervala.com" TargetMode="External"/><Relationship Id="rId520" Type="http://schemas.openxmlformats.org/officeDocument/2006/relationships/hyperlink" Target="https://centuryply.com/" TargetMode="External"/><Relationship Id="rId562" Type="http://schemas.openxmlformats.org/officeDocument/2006/relationships/hyperlink" Target="https://cppri.res.in/" TargetMode="External"/><Relationship Id="rId618" Type="http://schemas.openxmlformats.org/officeDocument/2006/relationships/hyperlink" Target="https://silkmarkindia.com/" TargetMode="External"/><Relationship Id="rId825" Type="http://schemas.openxmlformats.org/officeDocument/2006/relationships/hyperlink" Target="mailto:afmea@afmea.com" TargetMode="External"/><Relationship Id="rId215" Type="http://schemas.openxmlformats.org/officeDocument/2006/relationships/hyperlink" Target="mailto:chairman@apeda.gov.in" TargetMode="External"/><Relationship Id="rId257" Type="http://schemas.openxmlformats.org/officeDocument/2006/relationships/hyperlink" Target="https://roquette.com/" TargetMode="External"/><Relationship Id="rId422" Type="http://schemas.openxmlformats.org/officeDocument/2006/relationships/hyperlink" Target="https://mapro.com/" TargetMode="External"/><Relationship Id="rId464" Type="http://schemas.openxmlformats.org/officeDocument/2006/relationships/hyperlink" Target="https://prestigefeed.com/" TargetMode="External"/><Relationship Id="rId867" Type="http://schemas.openxmlformats.org/officeDocument/2006/relationships/hyperlink" Target="https://asiangranito.com/" TargetMode="External"/><Relationship Id="rId299" Type="http://schemas.openxmlformats.org/officeDocument/2006/relationships/hyperlink" Target="mailto:info@altrafine.com" TargetMode="External"/><Relationship Id="rId727" Type="http://schemas.openxmlformats.org/officeDocument/2006/relationships/hyperlink" Target="https://responsiveindustries.com/" TargetMode="External"/><Relationship Id="rId934" Type="http://schemas.openxmlformats.org/officeDocument/2006/relationships/hyperlink" Target="https://nift.ac.in/" TargetMode="External"/><Relationship Id="rId63" Type="http://schemas.openxmlformats.org/officeDocument/2006/relationships/hyperlink" Target="https://apeda.gov.in/" TargetMode="External"/><Relationship Id="rId159" Type="http://schemas.openxmlformats.org/officeDocument/2006/relationships/hyperlink" Target="https://apeda.gov.in/" TargetMode="External"/><Relationship Id="rId366" Type="http://schemas.openxmlformats.org/officeDocument/2006/relationships/hyperlink" Target="mailto:chairman@apeda.gov.in" TargetMode="External"/><Relationship Id="rId573" Type="http://schemas.openxmlformats.org/officeDocument/2006/relationships/hyperlink" Target="https://tnpl.com/" TargetMode="External"/><Relationship Id="rId780" Type="http://schemas.openxmlformats.org/officeDocument/2006/relationships/hyperlink" Target="mailto:export@orientcraft.com" TargetMode="External"/><Relationship Id="rId226" Type="http://schemas.openxmlformats.org/officeDocument/2006/relationships/hyperlink" Target="https://kohinoorfoods.in/" TargetMode="External"/><Relationship Id="rId433" Type="http://schemas.openxmlformats.org/officeDocument/2006/relationships/hyperlink" Target="mailto:export@capitalfoods.co.in" TargetMode="External"/><Relationship Id="rId878" Type="http://schemas.openxmlformats.org/officeDocument/2006/relationships/hyperlink" Target="mailto:info@somanyceramics.com" TargetMode="External"/><Relationship Id="rId640" Type="http://schemas.openxmlformats.org/officeDocument/2006/relationships/hyperlink" Target="https://nitinspinners.com/" TargetMode="External"/><Relationship Id="rId738" Type="http://schemas.openxmlformats.org/officeDocument/2006/relationships/hyperlink" Target="mailto:export@owmnahar.com" TargetMode="External"/><Relationship Id="rId945" Type="http://schemas.openxmlformats.org/officeDocument/2006/relationships/hyperlink" Target="mailto:ncdpd@ncdpd.in" TargetMode="External"/><Relationship Id="rId74" Type="http://schemas.openxmlformats.org/officeDocument/2006/relationships/hyperlink" Target="mailto:gcmmf@amul.coop" TargetMode="External"/><Relationship Id="rId377" Type="http://schemas.openxmlformats.org/officeDocument/2006/relationships/hyperlink" Target="https://jbcpl.com/" TargetMode="External"/><Relationship Id="rId500" Type="http://schemas.openxmlformats.org/officeDocument/2006/relationships/hyperlink" Target="https://holii.in/" TargetMode="External"/><Relationship Id="rId584" Type="http://schemas.openxmlformats.org/officeDocument/2006/relationships/hyperlink" Target="https://cppri.res.in/" TargetMode="External"/><Relationship Id="rId805" Type="http://schemas.openxmlformats.org/officeDocument/2006/relationships/hyperlink" Target="https://alokind.com/" TargetMode="External"/><Relationship Id="rId5" Type="http://schemas.openxmlformats.org/officeDocument/2006/relationships/hyperlink" Target="mailto:eic@eicindia.gov.in" TargetMode="External"/><Relationship Id="rId237" Type="http://schemas.openxmlformats.org/officeDocument/2006/relationships/hyperlink" Target="https://olamgroup.com/" TargetMode="External"/><Relationship Id="rId791" Type="http://schemas.openxmlformats.org/officeDocument/2006/relationships/hyperlink" Target="mailto:info@pdexcil.org" TargetMode="External"/><Relationship Id="rId889" Type="http://schemas.openxmlformats.org/officeDocument/2006/relationships/hyperlink" Target="https://capexil.in/" TargetMode="External"/><Relationship Id="rId444" Type="http://schemas.openxmlformats.org/officeDocument/2006/relationships/hyperlink" Target="https://givaudan.com/" TargetMode="External"/><Relationship Id="rId651" Type="http://schemas.openxmlformats.org/officeDocument/2006/relationships/hyperlink" Target="mailto:jci@jci.gov.in" TargetMode="External"/><Relationship Id="rId749" Type="http://schemas.openxmlformats.org/officeDocument/2006/relationships/hyperlink" Target="mailto:info@aepcindia.com" TargetMode="External"/><Relationship Id="rId290" Type="http://schemas.openxmlformats.org/officeDocument/2006/relationships/hyperlink" Target="https://vikaswsp.com/" TargetMode="External"/><Relationship Id="rId304" Type="http://schemas.openxmlformats.org/officeDocument/2006/relationships/hyperlink" Target="https://apeda.gov.in/" TargetMode="External"/><Relationship Id="rId388" Type="http://schemas.openxmlformats.org/officeDocument/2006/relationships/hyperlink" Target="https://in.mondelezinternational.com/" TargetMode="External"/><Relationship Id="rId511" Type="http://schemas.openxmlformats.org/officeDocument/2006/relationships/hyperlink" Target="https://epch.in/" TargetMode="External"/><Relationship Id="rId609" Type="http://schemas.openxmlformats.org/officeDocument/2006/relationships/hyperlink" Target="https://ksmb.karnataka.gov.in/" TargetMode="External"/><Relationship Id="rId956" Type="http://schemas.openxmlformats.org/officeDocument/2006/relationships/hyperlink" Target="https://toyassociationofindia.org/" TargetMode="External"/><Relationship Id="rId85" Type="http://schemas.openxmlformats.org/officeDocument/2006/relationships/hyperlink" Target="https://keystone-foundation.org/" TargetMode="External"/><Relationship Id="rId150" Type="http://schemas.openxmlformats.org/officeDocument/2006/relationships/hyperlink" Target="mailto:director.iivr@icar.gov.in" TargetMode="External"/><Relationship Id="rId595" Type="http://schemas.openxmlformats.org/officeDocument/2006/relationships/hyperlink" Target="mailto:export@parksonsgraphics.com" TargetMode="External"/><Relationship Id="rId816" Type="http://schemas.openxmlformats.org/officeDocument/2006/relationships/hyperlink" Target="https://relaxofootwear.com/" TargetMode="External"/><Relationship Id="rId248" Type="http://schemas.openxmlformats.org/officeDocument/2006/relationships/hyperlink" Target="mailto:info@bansalgroup.in" TargetMode="External"/><Relationship Id="rId455" Type="http://schemas.openxmlformats.org/officeDocument/2006/relationships/hyperlink" Target="mailto:avantiho@avantifeeds.com" TargetMode="External"/><Relationship Id="rId662" Type="http://schemas.openxmlformats.org/officeDocument/2006/relationships/hyperlink" Target="mailto:info@srtepc.in" TargetMode="External"/><Relationship Id="rId12" Type="http://schemas.openxmlformats.org/officeDocument/2006/relationships/hyperlink" Target="https://mkrindia.com/" TargetMode="External"/><Relationship Id="rId108" Type="http://schemas.openxmlformats.org/officeDocument/2006/relationships/hyperlink" Target="mailto:director.nrcp@icar.gov.in" TargetMode="External"/><Relationship Id="rId315" Type="http://schemas.openxmlformats.org/officeDocument/2006/relationships/hyperlink" Target="https://bamboohouseindia.com/" TargetMode="External"/><Relationship Id="rId522" Type="http://schemas.openxmlformats.org/officeDocument/2006/relationships/hyperlink" Target="https://greenply.com/" TargetMode="External"/><Relationship Id="rId967" Type="http://schemas.openxmlformats.org/officeDocument/2006/relationships/hyperlink" Target="mailto:export@khadiindia.net" TargetMode="External"/><Relationship Id="rId96" Type="http://schemas.openxmlformats.org/officeDocument/2006/relationships/hyperlink" Target="mailto:mail@nitta-gelatin.co.in" TargetMode="External"/><Relationship Id="rId161" Type="http://schemas.openxmlformats.org/officeDocument/2006/relationships/hyperlink" Target="https://apeda.gov.in/" TargetMode="External"/><Relationship Id="rId399" Type="http://schemas.openxmlformats.org/officeDocument/2006/relationships/hyperlink" Target="mailto:export@yellowdiamond.in" TargetMode="External"/><Relationship Id="rId827" Type="http://schemas.openxmlformats.org/officeDocument/2006/relationships/hyperlink" Target="mailto:contact@fddiindia.com" TargetMode="External"/><Relationship Id="rId259" Type="http://schemas.openxmlformats.org/officeDocument/2006/relationships/hyperlink" Target="https://iifpt.edu.in/" TargetMode="External"/><Relationship Id="rId466" Type="http://schemas.openxmlformats.org/officeDocument/2006/relationships/hyperlink" Target="https://sopa.org/" TargetMode="External"/><Relationship Id="rId673" Type="http://schemas.openxmlformats.org/officeDocument/2006/relationships/hyperlink" Target="mailto:info@srtepc.in" TargetMode="External"/><Relationship Id="rId880" Type="http://schemas.openxmlformats.org/officeDocument/2006/relationships/hyperlink" Target="mailto:info@kajariaceramics.com" TargetMode="External"/><Relationship Id="rId23" Type="http://schemas.openxmlformats.org/officeDocument/2006/relationships/hyperlink" Target="mailto:ceo.nmppb@nic.in" TargetMode="External"/><Relationship Id="rId119" Type="http://schemas.openxmlformats.org/officeDocument/2006/relationships/hyperlink" Target="mailto:info@floratechindia.com" TargetMode="External"/><Relationship Id="rId326" Type="http://schemas.openxmlformats.org/officeDocument/2006/relationships/hyperlink" Target="mailto:info@paragmilkfoods.com" TargetMode="External"/><Relationship Id="rId533" Type="http://schemas.openxmlformats.org/officeDocument/2006/relationships/hyperlink" Target="https://capexil.org/" TargetMode="External"/><Relationship Id="rId740" Type="http://schemas.openxmlformats.org/officeDocument/2006/relationships/hyperlink" Target="mailto:export@pioneerembroideries.com" TargetMode="External"/><Relationship Id="rId838" Type="http://schemas.openxmlformats.org/officeDocument/2006/relationships/hyperlink" Target="mailto:info@plexconcil.org" TargetMode="External"/><Relationship Id="rId172" Type="http://schemas.openxmlformats.org/officeDocument/2006/relationships/hyperlink" Target="mailto:info@inifarms.com" TargetMode="External"/><Relationship Id="rId477" Type="http://schemas.openxmlformats.org/officeDocument/2006/relationships/hyperlink" Target="mailto:leather@tata.com" TargetMode="External"/><Relationship Id="rId600" Type="http://schemas.openxmlformats.org/officeDocument/2006/relationships/hyperlink" Target="https://gopsons.com/" TargetMode="External"/><Relationship Id="rId684" Type="http://schemas.openxmlformats.org/officeDocument/2006/relationships/hyperlink" Target="mailto:info@srtepc.in" TargetMode="External"/><Relationship Id="rId337" Type="http://schemas.openxmlformats.org/officeDocument/2006/relationships/hyperlink" Target="https://apeda.gov.in/" TargetMode="External"/><Relationship Id="rId891" Type="http://schemas.openxmlformats.org/officeDocument/2006/relationships/hyperlink" Target="https://aigmf.in/" TargetMode="External"/><Relationship Id="rId905" Type="http://schemas.openxmlformats.org/officeDocument/2006/relationships/hyperlink" Target="https://gjepc.org/" TargetMode="External"/><Relationship Id="rId34" Type="http://schemas.openxmlformats.org/officeDocument/2006/relationships/hyperlink" Target="https://mpeda.gov.in/" TargetMode="External"/><Relationship Id="rId544" Type="http://schemas.openxmlformats.org/officeDocument/2006/relationships/hyperlink" Target="mailto:info@capexil.in" TargetMode="External"/><Relationship Id="rId751" Type="http://schemas.openxmlformats.org/officeDocument/2006/relationships/hyperlink" Target="mailto:tea@tirupurexporters.com" TargetMode="External"/><Relationship Id="rId849" Type="http://schemas.openxmlformats.org/officeDocument/2006/relationships/hyperlink" Target="https://nift.ac.in/" TargetMode="External"/><Relationship Id="rId183" Type="http://schemas.openxmlformats.org/officeDocument/2006/relationships/hyperlink" Target="mailto:director.nrcg@icar.gov.in" TargetMode="External"/><Relationship Id="rId390" Type="http://schemas.openxmlformats.org/officeDocument/2006/relationships/hyperlink" Target="https://unibicfoods.com/" TargetMode="External"/><Relationship Id="rId404" Type="http://schemas.openxmlformats.org/officeDocument/2006/relationships/hyperlink" Target="https://apeda.gov.in/" TargetMode="External"/><Relationship Id="rId611" Type="http://schemas.openxmlformats.org/officeDocument/2006/relationships/hyperlink" Target="mailto:jharcraft@jharkhand.gov.in" TargetMode="External"/><Relationship Id="rId250" Type="http://schemas.openxmlformats.org/officeDocument/2006/relationships/hyperlink" Target="mailto:info@shaktibhog.com" TargetMode="External"/><Relationship Id="rId488" Type="http://schemas.openxmlformats.org/officeDocument/2006/relationships/hyperlink" Target="mailto:cle@leatherindia.org" TargetMode="External"/><Relationship Id="rId695" Type="http://schemas.openxmlformats.org/officeDocument/2006/relationships/hyperlink" Target="https://hgnonwoven.com/" TargetMode="External"/><Relationship Id="rId709" Type="http://schemas.openxmlformats.org/officeDocument/2006/relationships/hyperlink" Target="mailto:iictbhadohi@gmail.com" TargetMode="External"/><Relationship Id="rId916" Type="http://schemas.openxmlformats.org/officeDocument/2006/relationships/hyperlink" Target="https://malabargold.com/" TargetMode="External"/><Relationship Id="rId45" Type="http://schemas.openxmlformats.org/officeDocument/2006/relationships/hyperlink" Target="mailto:info@nekkantiseafoods.com" TargetMode="External"/><Relationship Id="rId110" Type="http://schemas.openxmlformats.org/officeDocument/2006/relationships/hyperlink" Target="mailto:referrallab-kochi@eicindia.gov.in" TargetMode="External"/><Relationship Id="rId348" Type="http://schemas.openxmlformats.org/officeDocument/2006/relationships/hyperlink" Target="mailto:info@hyfunfoods.com" TargetMode="External"/><Relationship Id="rId555" Type="http://schemas.openxmlformats.org/officeDocument/2006/relationships/hyperlink" Target="mailto:export@spbltd.com" TargetMode="External"/><Relationship Id="rId762" Type="http://schemas.openxmlformats.org/officeDocument/2006/relationships/hyperlink" Target="https://orientcraft.com/" TargetMode="External"/><Relationship Id="rId194" Type="http://schemas.openxmlformats.org/officeDocument/2006/relationships/hyperlink" Target="https://indianspices.com/" TargetMode="External"/><Relationship Id="rId208" Type="http://schemas.openxmlformats.org/officeDocument/2006/relationships/hyperlink" Target="https://jabsinternational.com/" TargetMode="External"/><Relationship Id="rId415" Type="http://schemas.openxmlformats.org/officeDocument/2006/relationships/hyperlink" Target="mailto:export@nilons.com" TargetMode="External"/><Relationship Id="rId622" Type="http://schemas.openxmlformats.org/officeDocument/2006/relationships/hyperlink" Target="https://cwdb.gov.in/" TargetMode="External"/><Relationship Id="rId261" Type="http://schemas.openxmlformats.org/officeDocument/2006/relationships/hyperlink" Target="https://apeda.gov.in/" TargetMode="External"/><Relationship Id="rId499" Type="http://schemas.openxmlformats.org/officeDocument/2006/relationships/hyperlink" Target="https://hidesign.com/" TargetMode="External"/><Relationship Id="rId927" Type="http://schemas.openxmlformats.org/officeDocument/2006/relationships/hyperlink" Target="mailto:info@capexil.in" TargetMode="External"/><Relationship Id="rId56" Type="http://schemas.openxmlformats.org/officeDocument/2006/relationships/hyperlink" Target="mailto:info@sandhyamarines.com" TargetMode="External"/><Relationship Id="rId359" Type="http://schemas.openxmlformats.org/officeDocument/2006/relationships/hyperlink" Target="https://eidparry.com/" TargetMode="External"/><Relationship Id="rId566" Type="http://schemas.openxmlformats.org/officeDocument/2006/relationships/hyperlink" Target="https://ipma.co.in/" TargetMode="External"/><Relationship Id="rId773" Type="http://schemas.openxmlformats.org/officeDocument/2006/relationships/hyperlink" Target="https://shahi.co.in/" TargetMode="External"/><Relationship Id="rId121" Type="http://schemas.openxmlformats.org/officeDocument/2006/relationships/hyperlink" Target="mailto:info@iahseeds.com" TargetMode="External"/><Relationship Id="rId219" Type="http://schemas.openxmlformats.org/officeDocument/2006/relationships/hyperlink" Target="mailto:info@airia.in" TargetMode="External"/><Relationship Id="rId426" Type="http://schemas.openxmlformats.org/officeDocument/2006/relationships/hyperlink" Target="https://iihr.icar.gov.in/" TargetMode="External"/><Relationship Id="rId633" Type="http://schemas.openxmlformats.org/officeDocument/2006/relationships/hyperlink" Target="mailto:cai@caionline.in" TargetMode="External"/><Relationship Id="rId840" Type="http://schemas.openxmlformats.org/officeDocument/2006/relationships/hyperlink" Target="mailto:export@alokind.com" TargetMode="External"/><Relationship Id="rId938" Type="http://schemas.openxmlformats.org/officeDocument/2006/relationships/hyperlink" Target="https://hepcindia.org/" TargetMode="External"/><Relationship Id="rId67" Type="http://schemas.openxmlformats.org/officeDocument/2006/relationships/hyperlink" Target="https://skmegg.com/" TargetMode="External"/><Relationship Id="rId272" Type="http://schemas.openxmlformats.org/officeDocument/2006/relationships/hyperlink" Target="https://jayantagro.com/" TargetMode="External"/><Relationship Id="rId577" Type="http://schemas.openxmlformats.org/officeDocument/2006/relationships/hyperlink" Target="https://orientpaperindia.com/" TargetMode="External"/><Relationship Id="rId700" Type="http://schemas.openxmlformats.org/officeDocument/2006/relationships/hyperlink" Target="https://cepc.co.in/" TargetMode="External"/><Relationship Id="rId132" Type="http://schemas.openxmlformats.org/officeDocument/2006/relationships/hyperlink" Target="https://apeda.gov.in/" TargetMode="External"/><Relationship Id="rId784" Type="http://schemas.openxmlformats.org/officeDocument/2006/relationships/hyperlink" Target="mailto:export@pearlglobal.com" TargetMode="External"/><Relationship Id="rId437" Type="http://schemas.openxmlformats.org/officeDocument/2006/relationships/hyperlink" Target="mailto:info@cremica.in" TargetMode="External"/><Relationship Id="rId644" Type="http://schemas.openxmlformats.org/officeDocument/2006/relationships/hyperlink" Target="https://kprmilllimited.com/" TargetMode="External"/><Relationship Id="rId851" Type="http://schemas.openxmlformats.org/officeDocument/2006/relationships/hyperlink" Target="mailto:info@capexil.in" TargetMode="External"/><Relationship Id="rId283" Type="http://schemas.openxmlformats.org/officeDocument/2006/relationships/hyperlink" Target="mailto:chairman@apeda.gov.in" TargetMode="External"/><Relationship Id="rId490" Type="http://schemas.openxmlformats.org/officeDocument/2006/relationships/hyperlink" Target="mailto:clekol@leatherindia.org" TargetMode="External"/><Relationship Id="rId504" Type="http://schemas.openxmlformats.org/officeDocument/2006/relationships/hyperlink" Target="mailto:director@clri.org" TargetMode="External"/><Relationship Id="rId711" Type="http://schemas.openxmlformats.org/officeDocument/2006/relationships/hyperlink" Target="mailto:secy.texcom@nic.in" TargetMode="External"/><Relationship Id="rId949" Type="http://schemas.openxmlformats.org/officeDocument/2006/relationships/hyperlink" Target="mailto:info@nilkamal.com" TargetMode="External"/><Relationship Id="rId78" Type="http://schemas.openxmlformats.org/officeDocument/2006/relationships/hyperlink" Target="mailto:info@novadairy.com" TargetMode="External"/><Relationship Id="rId143" Type="http://schemas.openxmlformats.org/officeDocument/2006/relationships/hyperlink" Target="https://msamb.org.in/" TargetMode="External"/><Relationship Id="rId350" Type="http://schemas.openxmlformats.org/officeDocument/2006/relationships/hyperlink" Target="mailto:director.nrcmeat@icar.gov.in" TargetMode="External"/><Relationship Id="rId588" Type="http://schemas.openxmlformats.org/officeDocument/2006/relationships/hyperlink" Target="https://fipindia.org/" TargetMode="External"/><Relationship Id="rId795" Type="http://schemas.openxmlformats.org/officeDocument/2006/relationships/hyperlink" Target="mailto:export@tridentindia.com" TargetMode="External"/><Relationship Id="rId809" Type="http://schemas.openxmlformats.org/officeDocument/2006/relationships/hyperlink" Target="mailto:info@cfla.in" TargetMode="External"/><Relationship Id="rId9" Type="http://schemas.openxmlformats.org/officeDocument/2006/relationships/hyperlink" Target="mailto:info@alkabeer.com" TargetMode="External"/><Relationship Id="rId210" Type="http://schemas.openxmlformats.org/officeDocument/2006/relationships/hyperlink" Target="https://allanasons.com/" TargetMode="External"/><Relationship Id="rId448" Type="http://schemas.openxmlformats.org/officeDocument/2006/relationships/hyperlink" Target="mailto:director.ciphet@icar.gov.in" TargetMode="External"/><Relationship Id="rId655" Type="http://schemas.openxmlformats.org/officeDocument/2006/relationships/hyperlink" Target="https://birlacorporation.com/" TargetMode="External"/><Relationship Id="rId862" Type="http://schemas.openxmlformats.org/officeDocument/2006/relationships/hyperlink" Target="mailto:info@stonexindia.com" TargetMode="External"/><Relationship Id="rId294" Type="http://schemas.openxmlformats.org/officeDocument/2006/relationships/hyperlink" Target="https://lucidcolloids.com/" TargetMode="External"/><Relationship Id="rId308" Type="http://schemas.openxmlformats.org/officeDocument/2006/relationships/hyperlink" Target="mailto:info@cbtc.org.in" TargetMode="External"/><Relationship Id="rId515" Type="http://schemas.openxmlformats.org/officeDocument/2006/relationships/hyperlink" Target="mailto:info@capexil.org" TargetMode="External"/><Relationship Id="rId722" Type="http://schemas.openxmlformats.org/officeDocument/2006/relationships/hyperlink" Target="mailto:export@garwarefibres.com" TargetMode="External"/><Relationship Id="rId89" Type="http://schemas.openxmlformats.org/officeDocument/2006/relationships/hyperlink" Target="https://ndri.res.in/" TargetMode="External"/><Relationship Id="rId154" Type="http://schemas.openxmlformats.org/officeDocument/2006/relationships/hyperlink" Target="mailto:chairman@apeda.gov.in" TargetMode="External"/><Relationship Id="rId361" Type="http://schemas.openxmlformats.org/officeDocument/2006/relationships/hyperlink" Target="https://srisritattva.com/" TargetMode="External"/><Relationship Id="rId599" Type="http://schemas.openxmlformats.org/officeDocument/2006/relationships/hyperlink" Target="mailto:export@gopsons.com" TargetMode="External"/><Relationship Id="rId459" Type="http://schemas.openxmlformats.org/officeDocument/2006/relationships/hyperlink" Target="https://sugunafoods.com/" TargetMode="External"/><Relationship Id="rId666" Type="http://schemas.openxmlformats.org/officeDocument/2006/relationships/hyperlink" Target="mailto:export@alokind.com" TargetMode="External"/><Relationship Id="rId873" Type="http://schemas.openxmlformats.org/officeDocument/2006/relationships/hyperlink" Target="https://capexil.in/" TargetMode="External"/><Relationship Id="rId16" Type="http://schemas.openxmlformats.org/officeDocument/2006/relationships/hyperlink" Target="https://hindagro.com/" TargetMode="External"/><Relationship Id="rId221" Type="http://schemas.openxmlformats.org/officeDocument/2006/relationships/hyperlink" Target="mailto:info@krblrice.com" TargetMode="External"/><Relationship Id="rId319" Type="http://schemas.openxmlformats.org/officeDocument/2006/relationships/hyperlink" Target="https://eicindia.gov.in/" TargetMode="External"/><Relationship Id="rId526" Type="http://schemas.openxmlformats.org/officeDocument/2006/relationships/hyperlink" Target="https://duroply.in/" TargetMode="External"/><Relationship Id="rId733" Type="http://schemas.openxmlformats.org/officeDocument/2006/relationships/hyperlink" Target="https://srtepc.in/" TargetMode="External"/><Relationship Id="rId940" Type="http://schemas.openxmlformats.org/officeDocument/2006/relationships/hyperlink" Target="https://nid.edu/" TargetMode="External"/><Relationship Id="rId165" Type="http://schemas.openxmlformats.org/officeDocument/2006/relationships/hyperlink" Target="https://ppqs.gov.in/" TargetMode="External"/><Relationship Id="rId372" Type="http://schemas.openxmlformats.org/officeDocument/2006/relationships/hyperlink" Target="mailto:info@lotuschocolate.com" TargetMode="External"/><Relationship Id="rId677" Type="http://schemas.openxmlformats.org/officeDocument/2006/relationships/hyperlink" Target="https://vardhman.com/" TargetMode="External"/><Relationship Id="rId800" Type="http://schemas.openxmlformats.org/officeDocument/2006/relationships/hyperlink" Target="https://indocount.com/" TargetMode="External"/><Relationship Id="rId232" Type="http://schemas.openxmlformats.org/officeDocument/2006/relationships/hyperlink" Target="https://dunar.in/" TargetMode="External"/><Relationship Id="rId884" Type="http://schemas.openxmlformats.org/officeDocument/2006/relationships/hyperlink" Target="mailto:info@asiangranito.com" TargetMode="External"/><Relationship Id="rId27" Type="http://schemas.openxmlformats.org/officeDocument/2006/relationships/hyperlink" Target="https://mpeda.gov.in/" TargetMode="External"/><Relationship Id="rId537" Type="http://schemas.openxmlformats.org/officeDocument/2006/relationships/hyperlink" Target="mailto:info@cbtc.org.in" TargetMode="External"/><Relationship Id="rId744" Type="http://schemas.openxmlformats.org/officeDocument/2006/relationships/hyperlink" Target="mailto:export@alokind.com" TargetMode="External"/><Relationship Id="rId951" Type="http://schemas.openxmlformats.org/officeDocument/2006/relationships/hyperlink" Target="mailto:info@zuarifurniture.com" TargetMode="External"/><Relationship Id="rId80" Type="http://schemas.openxmlformats.org/officeDocument/2006/relationships/hyperlink" Target="mailto:info@paragmilkfoods.com" TargetMode="External"/><Relationship Id="rId176" Type="http://schemas.openxmlformats.org/officeDocument/2006/relationships/hyperlink" Target="https://jainfarmfresh.com/" TargetMode="External"/><Relationship Id="rId383" Type="http://schemas.openxmlformats.org/officeDocument/2006/relationships/hyperlink" Target="https://apeda.gov.in/" TargetMode="External"/><Relationship Id="rId590" Type="http://schemas.openxmlformats.org/officeDocument/2006/relationships/hyperlink" Target="https://thomsonpress.com/" TargetMode="External"/><Relationship Id="rId604" Type="http://schemas.openxmlformats.org/officeDocument/2006/relationships/hyperlink" Target="https://csb.gov.in/" TargetMode="External"/><Relationship Id="rId811" Type="http://schemas.openxmlformats.org/officeDocument/2006/relationships/hyperlink" Target="mailto:export@bata.com" TargetMode="External"/><Relationship Id="rId243" Type="http://schemas.openxmlformats.org/officeDocument/2006/relationships/hyperlink" Target="https://apeda.gov.in/" TargetMode="External"/><Relationship Id="rId450" Type="http://schemas.openxmlformats.org/officeDocument/2006/relationships/hyperlink" Target="mailto:chairman@apeda.gov.in" TargetMode="External"/><Relationship Id="rId688" Type="http://schemas.openxmlformats.org/officeDocument/2006/relationships/hyperlink" Target="mailto:export@ginnifilaments.com" TargetMode="External"/><Relationship Id="rId895" Type="http://schemas.openxmlformats.org/officeDocument/2006/relationships/hyperlink" Target="https://borosil.com/" TargetMode="External"/><Relationship Id="rId909" Type="http://schemas.openxmlformats.org/officeDocument/2006/relationships/hyperlink" Target="mailto:info@gjc.org.in" TargetMode="External"/><Relationship Id="rId38" Type="http://schemas.openxmlformats.org/officeDocument/2006/relationships/hyperlink" Target="https://eicindia.gov.in/" TargetMode="External"/><Relationship Id="rId103" Type="http://schemas.openxmlformats.org/officeDocument/2006/relationships/hyperlink" Target="mailto:info@narmadagelatines.com" TargetMode="External"/><Relationship Id="rId310" Type="http://schemas.openxmlformats.org/officeDocument/2006/relationships/hyperlink" Target="mailto:tfdpc@tripura.gov.in" TargetMode="External"/><Relationship Id="rId548" Type="http://schemas.openxmlformats.org/officeDocument/2006/relationships/hyperlink" Target="https://avanthagroup.com/" TargetMode="External"/><Relationship Id="rId755" Type="http://schemas.openxmlformats.org/officeDocument/2006/relationships/hyperlink" Target="mailto:export@gokaldasexports.com" TargetMode="External"/><Relationship Id="rId962" Type="http://schemas.openxmlformats.org/officeDocument/2006/relationships/hyperlink" Target="https://fafai.in/" TargetMode="External"/><Relationship Id="rId91" Type="http://schemas.openxmlformats.org/officeDocument/2006/relationships/hyperlink" Target="https://eicindia.gov.in/" TargetMode="External"/><Relationship Id="rId187" Type="http://schemas.openxmlformats.org/officeDocument/2006/relationships/hyperlink" Target="mailto:chairman@apeda.gov.in" TargetMode="External"/><Relationship Id="rId394" Type="http://schemas.openxmlformats.org/officeDocument/2006/relationships/hyperlink" Target="mailto:export@bikaji.com" TargetMode="External"/><Relationship Id="rId408" Type="http://schemas.openxmlformats.org/officeDocument/2006/relationships/hyperlink" Target="https://jainfarmfresh.com/" TargetMode="External"/><Relationship Id="rId615" Type="http://schemas.openxmlformats.org/officeDocument/2006/relationships/hyperlink" Target="mailto:ksicsilk@ksicsilk.com" TargetMode="External"/><Relationship Id="rId822" Type="http://schemas.openxmlformats.org/officeDocument/2006/relationships/hyperlink" Target="https://khadims.com/" TargetMode="External"/><Relationship Id="rId254" Type="http://schemas.openxmlformats.org/officeDocument/2006/relationships/hyperlink" Target="https://cargill.co.in/" TargetMode="External"/><Relationship Id="rId699" Type="http://schemas.openxmlformats.org/officeDocument/2006/relationships/hyperlink" Target="mailto:cepcbhadohi@cepc.co.in" TargetMode="External"/><Relationship Id="rId49" Type="http://schemas.openxmlformats.org/officeDocument/2006/relationships/hyperlink" Target="mailto:info@libertygroup.in" TargetMode="External"/><Relationship Id="rId114" Type="http://schemas.openxmlformats.org/officeDocument/2006/relationships/hyperlink" Target="mailto:ppa@nic.in" TargetMode="External"/><Relationship Id="rId461" Type="http://schemas.openxmlformats.org/officeDocument/2006/relationships/hyperlink" Target="https://amritfeeds.com/" TargetMode="External"/><Relationship Id="rId559" Type="http://schemas.openxmlformats.org/officeDocument/2006/relationships/hyperlink" Target="mailto:export@yashpakka.com" TargetMode="External"/><Relationship Id="rId766" Type="http://schemas.openxmlformats.org/officeDocument/2006/relationships/hyperlink" Target="https://eastmanexports.com/" TargetMode="External"/><Relationship Id="rId198" Type="http://schemas.openxmlformats.org/officeDocument/2006/relationships/hyperlink" Target="https://synthite.com/" TargetMode="External"/><Relationship Id="rId321" Type="http://schemas.openxmlformats.org/officeDocument/2006/relationships/hyperlink" Target="https://amul.com/" TargetMode="External"/><Relationship Id="rId419" Type="http://schemas.openxmlformats.org/officeDocument/2006/relationships/hyperlink" Target="mailto:info@eastern.in" TargetMode="External"/><Relationship Id="rId626" Type="http://schemas.openxmlformats.org/officeDocument/2006/relationships/hyperlink" Target="mailto:srk@srkexports.com" TargetMode="External"/><Relationship Id="rId973" Type="http://schemas.openxmlformats.org/officeDocument/2006/relationships/hyperlink" Target="mailto:chairman@apeda.gov.in" TargetMode="External"/><Relationship Id="rId833" Type="http://schemas.openxmlformats.org/officeDocument/2006/relationships/hyperlink" Target="mailto:export@bharatcaps.com" TargetMode="External"/><Relationship Id="rId265" Type="http://schemas.openxmlformats.org/officeDocument/2006/relationships/hyperlink" Target="https://seaofindia.com/" TargetMode="External"/><Relationship Id="rId472" Type="http://schemas.openxmlformats.org/officeDocument/2006/relationships/hyperlink" Target="https://leatherindia.org/" TargetMode="External"/><Relationship Id="rId900" Type="http://schemas.openxmlformats.org/officeDocument/2006/relationships/hyperlink" Target="mailto:info@gjepcindia.com" TargetMode="External"/><Relationship Id="rId125" Type="http://schemas.openxmlformats.org/officeDocument/2006/relationships/hyperlink" Target="mailto:director.nrco@icar.gov.in" TargetMode="External"/><Relationship Id="rId332" Type="http://schemas.openxmlformats.org/officeDocument/2006/relationships/hyperlink" Target="https://alkabeer.com/" TargetMode="External"/><Relationship Id="rId777" Type="http://schemas.openxmlformats.org/officeDocument/2006/relationships/hyperlink" Target="https://raymond.in/" TargetMode="External"/><Relationship Id="rId637" Type="http://schemas.openxmlformats.org/officeDocument/2006/relationships/hyperlink" Target="mailto:export@tridentindia.com" TargetMode="External"/><Relationship Id="rId844" Type="http://schemas.openxmlformats.org/officeDocument/2006/relationships/hyperlink" Target="mailto:info@epch.in" TargetMode="External"/><Relationship Id="rId276" Type="http://schemas.openxmlformats.org/officeDocument/2006/relationships/hyperlink" Target="https://adaniwilmar.com/" TargetMode="External"/><Relationship Id="rId483" Type="http://schemas.openxmlformats.org/officeDocument/2006/relationships/hyperlink" Target="https://rahmangroup.com/" TargetMode="External"/><Relationship Id="rId690" Type="http://schemas.openxmlformats.org/officeDocument/2006/relationships/hyperlink" Target="mailto:export@pakona.com" TargetMode="External"/><Relationship Id="rId704" Type="http://schemas.openxmlformats.org/officeDocument/2006/relationships/hyperlink" Target="https://jaipurrugs.com/" TargetMode="External"/><Relationship Id="rId911" Type="http://schemas.openxmlformats.org/officeDocument/2006/relationships/hyperlink" Target="mailto:info@hk.co" TargetMode="External"/><Relationship Id="rId40" Type="http://schemas.openxmlformats.org/officeDocument/2006/relationships/hyperlink" Target="https://nfdb.gov.in/" TargetMode="External"/><Relationship Id="rId136" Type="http://schemas.openxmlformats.org/officeDocument/2006/relationships/hyperlink" Target="https://nhb.gov.in/" TargetMode="External"/><Relationship Id="rId343" Type="http://schemas.openxmlformats.org/officeDocument/2006/relationships/hyperlink" Target="mailto:info@venkys.com" TargetMode="External"/><Relationship Id="rId550" Type="http://schemas.openxmlformats.org/officeDocument/2006/relationships/hyperlink" Target="https://jkpaper.com/" TargetMode="External"/><Relationship Id="rId788" Type="http://schemas.openxmlformats.org/officeDocument/2006/relationships/hyperlink" Target="https://nift.ac.in/" TargetMode="External"/><Relationship Id="rId203" Type="http://schemas.openxmlformats.org/officeDocument/2006/relationships/hyperlink" Target="mailto:info@eastern.in" TargetMode="External"/><Relationship Id="rId648" Type="http://schemas.openxmlformats.org/officeDocument/2006/relationships/hyperlink" Target="https://jute.com/" TargetMode="External"/><Relationship Id="rId855" Type="http://schemas.openxmlformats.org/officeDocument/2006/relationships/hyperlink" Target="mailto:info@cdos-india.com" TargetMode="External"/><Relationship Id="rId287" Type="http://schemas.openxmlformats.org/officeDocument/2006/relationships/hyperlink" Target="mailto:iglho@indiaglycols.com" TargetMode="External"/><Relationship Id="rId410" Type="http://schemas.openxmlformats.org/officeDocument/2006/relationships/hyperlink" Target="https://shimlahills.com/" TargetMode="External"/><Relationship Id="rId494" Type="http://schemas.openxmlformats.org/officeDocument/2006/relationships/hyperlink" Target="mailto:info@vipindustries.co.in" TargetMode="External"/><Relationship Id="rId508" Type="http://schemas.openxmlformats.org/officeDocument/2006/relationships/hyperlink" Target="mailto:info@epch.in" TargetMode="External"/><Relationship Id="rId715" Type="http://schemas.openxmlformats.org/officeDocument/2006/relationships/hyperlink" Target="mailto:export@prakashnarrow.com" TargetMode="External"/><Relationship Id="rId922" Type="http://schemas.openxmlformats.org/officeDocument/2006/relationships/hyperlink" Target="mailto:nid@nid.edu" TargetMode="External"/><Relationship Id="rId147" Type="http://schemas.openxmlformats.org/officeDocument/2006/relationships/hyperlink" Target="mailto:onion@allanasons.com" TargetMode="External"/><Relationship Id="rId354" Type="http://schemas.openxmlformats.org/officeDocument/2006/relationships/hyperlink" Target="https://indiansugar.com/" TargetMode="External"/><Relationship Id="rId799" Type="http://schemas.openxmlformats.org/officeDocument/2006/relationships/hyperlink" Target="mailto:export@indocount.com" TargetMode="External"/><Relationship Id="rId51" Type="http://schemas.openxmlformats.org/officeDocument/2006/relationships/hyperlink" Target="mailto:info@falconmarine.in" TargetMode="External"/><Relationship Id="rId561" Type="http://schemas.openxmlformats.org/officeDocument/2006/relationships/hyperlink" Target="mailto:director@cppri.res.in" TargetMode="External"/><Relationship Id="rId659" Type="http://schemas.openxmlformats.org/officeDocument/2006/relationships/hyperlink" Target="https://cheviotjute.com/" TargetMode="External"/><Relationship Id="rId866" Type="http://schemas.openxmlformats.org/officeDocument/2006/relationships/hyperlink" Target="mailto:info@asiangranito.com" TargetMode="External"/><Relationship Id="rId214" Type="http://schemas.openxmlformats.org/officeDocument/2006/relationships/hyperlink" Target="https://spices.res.in/" TargetMode="External"/><Relationship Id="rId298" Type="http://schemas.openxmlformats.org/officeDocument/2006/relationships/hyperlink" Target="https://agrogums.com/" TargetMode="External"/><Relationship Id="rId421" Type="http://schemas.openxmlformats.org/officeDocument/2006/relationships/hyperlink" Target="mailto:export@mapro.com" TargetMode="External"/><Relationship Id="rId519" Type="http://schemas.openxmlformats.org/officeDocument/2006/relationships/hyperlink" Target="mailto:export@centuryply.com" TargetMode="External"/><Relationship Id="rId158" Type="http://schemas.openxmlformats.org/officeDocument/2006/relationships/hyperlink" Target="mailto:apeda-vijayawada@apeda.gov.in" TargetMode="External"/><Relationship Id="rId726" Type="http://schemas.openxmlformats.org/officeDocument/2006/relationships/hyperlink" Target="mailto:export@responsiveindustries.com" TargetMode="External"/><Relationship Id="rId933" Type="http://schemas.openxmlformats.org/officeDocument/2006/relationships/hyperlink" Target="mailto:nift.ho@nift.ac.in" TargetMode="External"/><Relationship Id="rId62" Type="http://schemas.openxmlformats.org/officeDocument/2006/relationships/hyperlink" Target="mailto:chairman@apeda.gov.in" TargetMode="External"/><Relationship Id="rId365" Type="http://schemas.openxmlformats.org/officeDocument/2006/relationships/hyperlink" Target="https://niftem.ac.in/" TargetMode="External"/><Relationship Id="rId572" Type="http://schemas.openxmlformats.org/officeDocument/2006/relationships/hyperlink" Target="mailto:export@tnpl.co.in" TargetMode="External"/><Relationship Id="rId225" Type="http://schemas.openxmlformats.org/officeDocument/2006/relationships/hyperlink" Target="mailto:info@kohinoorfoods.in" TargetMode="External"/><Relationship Id="rId432" Type="http://schemas.openxmlformats.org/officeDocument/2006/relationships/hyperlink" Target="https://hul.co.in/" TargetMode="External"/><Relationship Id="rId877" Type="http://schemas.openxmlformats.org/officeDocument/2006/relationships/hyperlink" Target="https://cgcri.res.in/" TargetMode="External"/><Relationship Id="rId737" Type="http://schemas.openxmlformats.org/officeDocument/2006/relationships/hyperlink" Target="https://pratibhasyntex.com/" TargetMode="External"/><Relationship Id="rId944" Type="http://schemas.openxmlformats.org/officeDocument/2006/relationships/hyperlink" Target="https://epch.in/" TargetMode="External"/><Relationship Id="rId73" Type="http://schemas.openxmlformats.org/officeDocument/2006/relationships/hyperlink" Target="https://westcoast.in/" TargetMode="External"/><Relationship Id="rId169" Type="http://schemas.openxmlformats.org/officeDocument/2006/relationships/hyperlink" Target="https://freshtrop.com/" TargetMode="External"/><Relationship Id="rId376" Type="http://schemas.openxmlformats.org/officeDocument/2006/relationships/hyperlink" Target="https://doublehorse.com/" TargetMode="External"/><Relationship Id="rId583" Type="http://schemas.openxmlformats.org/officeDocument/2006/relationships/hyperlink" Target="mailto:director@cppri.res.in" TargetMode="External"/><Relationship Id="rId790" Type="http://schemas.openxmlformats.org/officeDocument/2006/relationships/hyperlink" Target="https://hepcindia.com/" TargetMode="External"/><Relationship Id="rId804" Type="http://schemas.openxmlformats.org/officeDocument/2006/relationships/hyperlink" Target="mailto:export@alokind.com" TargetMode="External"/><Relationship Id="rId4" Type="http://schemas.openxmlformats.org/officeDocument/2006/relationships/hyperlink" Target="https://apeda.gov.in/" TargetMode="External"/><Relationship Id="rId236" Type="http://schemas.openxmlformats.org/officeDocument/2006/relationships/hyperlink" Target="mailto:india@olamnet.com" TargetMode="External"/><Relationship Id="rId443" Type="http://schemas.openxmlformats.org/officeDocument/2006/relationships/hyperlink" Target="https://iff.com/" TargetMode="External"/><Relationship Id="rId650" Type="http://schemas.openxmlformats.org/officeDocument/2006/relationships/hyperlink" Target="https://ijira.org/" TargetMode="External"/><Relationship Id="rId888" Type="http://schemas.openxmlformats.org/officeDocument/2006/relationships/hyperlink" Target="mailto:firozabad@capexil.in" TargetMode="External"/><Relationship Id="rId303" Type="http://schemas.openxmlformats.org/officeDocument/2006/relationships/hyperlink" Target="mailto:chairman@apeda.gov.in" TargetMode="External"/><Relationship Id="rId748" Type="http://schemas.openxmlformats.org/officeDocument/2006/relationships/hyperlink" Target="https://sitra.org.in/" TargetMode="External"/><Relationship Id="rId955" Type="http://schemas.openxmlformats.org/officeDocument/2006/relationships/hyperlink" Target="mailto:info@toyassociationofindia.org" TargetMode="External"/><Relationship Id="rId84" Type="http://schemas.openxmlformats.org/officeDocument/2006/relationships/hyperlink" Target="mailto:info@keystone-foundation.org" TargetMode="External"/><Relationship Id="rId387" Type="http://schemas.openxmlformats.org/officeDocument/2006/relationships/hyperlink" Target="https://itcportal.com/" TargetMode="External"/><Relationship Id="rId510" Type="http://schemas.openxmlformats.org/officeDocument/2006/relationships/hyperlink" Target="mailto:info@hindustanfurs.com" TargetMode="External"/><Relationship Id="rId594" Type="http://schemas.openxmlformats.org/officeDocument/2006/relationships/hyperlink" Target="https://manipaltechnologies.com/" TargetMode="External"/><Relationship Id="rId608" Type="http://schemas.openxmlformats.org/officeDocument/2006/relationships/hyperlink" Target="https://isepcindia.com/" TargetMode="External"/><Relationship Id="rId815" Type="http://schemas.openxmlformats.org/officeDocument/2006/relationships/hyperlink" Target="mailto:export@relaxofootwear.com" TargetMode="External"/><Relationship Id="rId247" Type="http://schemas.openxmlformats.org/officeDocument/2006/relationships/hyperlink" Target="https://hul.co.in/" TargetMode="External"/><Relationship Id="rId899" Type="http://schemas.openxmlformats.org/officeDocument/2006/relationships/hyperlink" Target="https://aisglass.com/" TargetMode="External"/><Relationship Id="rId107" Type="http://schemas.openxmlformats.org/officeDocument/2006/relationships/hyperlink" Target="mailto:info@altayyeb.in" TargetMode="External"/><Relationship Id="rId454" Type="http://schemas.openxmlformats.org/officeDocument/2006/relationships/hyperlink" Target="https://godrejagrovet.com/" TargetMode="External"/><Relationship Id="rId661" Type="http://schemas.openxmlformats.org/officeDocument/2006/relationships/hyperlink" Target="https://mrljute.com/" TargetMode="External"/><Relationship Id="rId759" Type="http://schemas.openxmlformats.org/officeDocument/2006/relationships/hyperlink" Target="mailto:export@pratibhasyntex.com" TargetMode="External"/><Relationship Id="rId966" Type="http://schemas.openxmlformats.org/officeDocument/2006/relationships/hyperlink" Target="https://premhenna.com/" TargetMode="External"/><Relationship Id="rId11" Type="http://schemas.openxmlformats.org/officeDocument/2006/relationships/hyperlink" Target="mailto:info@mkrindia.com" TargetMode="External"/><Relationship Id="rId314" Type="http://schemas.openxmlformats.org/officeDocument/2006/relationships/hyperlink" Target="mailto:info@bamboohouseindia.com" TargetMode="External"/><Relationship Id="rId398" Type="http://schemas.openxmlformats.org/officeDocument/2006/relationships/hyperlink" Target="https://bikanervala.com/" TargetMode="External"/><Relationship Id="rId521" Type="http://schemas.openxmlformats.org/officeDocument/2006/relationships/hyperlink" Target="mailto:export@greenply.com" TargetMode="External"/><Relationship Id="rId619" Type="http://schemas.openxmlformats.org/officeDocument/2006/relationships/hyperlink" Target="mailto:info@wwepcindia.com" TargetMode="External"/><Relationship Id="rId95" Type="http://schemas.openxmlformats.org/officeDocument/2006/relationships/hyperlink" Target="https://eicindia.gov.in/" TargetMode="External"/><Relationship Id="rId160" Type="http://schemas.openxmlformats.org/officeDocument/2006/relationships/hyperlink" Target="mailto:apeda-blr@apeda.gov.in" TargetMode="External"/><Relationship Id="rId826" Type="http://schemas.openxmlformats.org/officeDocument/2006/relationships/hyperlink" Target="https://afmea.com/" TargetMode="External"/><Relationship Id="rId258" Type="http://schemas.openxmlformats.org/officeDocument/2006/relationships/hyperlink" Target="mailto:director@iifpt.edu.in" TargetMode="External"/><Relationship Id="rId465" Type="http://schemas.openxmlformats.org/officeDocument/2006/relationships/hyperlink" Target="mailto:sopa@sopa.org" TargetMode="External"/><Relationship Id="rId672" Type="http://schemas.openxmlformats.org/officeDocument/2006/relationships/hyperlink" Target="https://asfi.in/" TargetMode="External"/><Relationship Id="rId22" Type="http://schemas.openxmlformats.org/officeDocument/2006/relationships/hyperlink" Target="https://venkys.com/" TargetMode="External"/><Relationship Id="rId118" Type="http://schemas.openxmlformats.org/officeDocument/2006/relationships/hyperlink" Target="mailto:info@suvarnafloritech.com" TargetMode="External"/><Relationship Id="rId325" Type="http://schemas.openxmlformats.org/officeDocument/2006/relationships/hyperlink" Target="https://verka.coop/" TargetMode="External"/><Relationship Id="rId532" Type="http://schemas.openxmlformats.org/officeDocument/2006/relationships/hyperlink" Target="mailto:info@capexil.in" TargetMode="External"/><Relationship Id="rId171" Type="http://schemas.openxmlformats.org/officeDocument/2006/relationships/hyperlink" Target="https://kalyaexports.com/" TargetMode="External"/><Relationship Id="rId837" Type="http://schemas.openxmlformats.org/officeDocument/2006/relationships/hyperlink" Target="https://epch.in/" TargetMode="External"/><Relationship Id="rId269" Type="http://schemas.openxmlformats.org/officeDocument/2006/relationships/hyperlink" Target="mailto:info@vlcspices.com" TargetMode="External"/><Relationship Id="rId476" Type="http://schemas.openxmlformats.org/officeDocument/2006/relationships/hyperlink" Target="https://superhousegroup.com/" TargetMode="External"/><Relationship Id="rId683" Type="http://schemas.openxmlformats.org/officeDocument/2006/relationships/hyperlink" Target="https://asfi.in/" TargetMode="External"/><Relationship Id="rId890" Type="http://schemas.openxmlformats.org/officeDocument/2006/relationships/hyperlink" Target="mailto:aigmf@aigmf.in" TargetMode="External"/><Relationship Id="rId904" Type="http://schemas.openxmlformats.org/officeDocument/2006/relationships/hyperlink" Target="mailto:jaipur@gjepcindia.com" TargetMode="External"/><Relationship Id="rId33" Type="http://schemas.openxmlformats.org/officeDocument/2006/relationships/hyperlink" Target="https://mpeda.gov.in/" TargetMode="External"/><Relationship Id="rId129" Type="http://schemas.openxmlformats.org/officeDocument/2006/relationships/hyperlink" Target="mailto:chairman@apeda.gov.in" TargetMode="External"/><Relationship Id="rId336" Type="http://schemas.openxmlformats.org/officeDocument/2006/relationships/hyperlink" Target="mailto:chairman@apeda.gov.in" TargetMode="External"/><Relationship Id="rId543" Type="http://schemas.openxmlformats.org/officeDocument/2006/relationships/hyperlink" Target="mailto:ksbcl@keralabamboo.com" TargetMode="External"/><Relationship Id="rId182" Type="http://schemas.openxmlformats.org/officeDocument/2006/relationships/hyperlink" Target="https://iginternational.net/" TargetMode="External"/><Relationship Id="rId403" Type="http://schemas.openxmlformats.org/officeDocument/2006/relationships/hyperlink" Target="mailto:chairman@apeda.gov.in" TargetMode="External"/><Relationship Id="rId750" Type="http://schemas.openxmlformats.org/officeDocument/2006/relationships/hyperlink" Target="https://aepcindia.com/" TargetMode="External"/><Relationship Id="rId848" Type="http://schemas.openxmlformats.org/officeDocument/2006/relationships/hyperlink" Target="mailto:nift.ho@nift.ac.in" TargetMode="External"/><Relationship Id="rId487" Type="http://schemas.openxmlformats.org/officeDocument/2006/relationships/hyperlink" Target="https://clri.org/" TargetMode="External"/><Relationship Id="rId610" Type="http://schemas.openxmlformats.org/officeDocument/2006/relationships/hyperlink" Target="https://himcrafts.nic.in/" TargetMode="External"/><Relationship Id="rId694" Type="http://schemas.openxmlformats.org/officeDocument/2006/relationships/hyperlink" Target="mailto:export@hgnonwoven.com" TargetMode="External"/><Relationship Id="rId708" Type="http://schemas.openxmlformats.org/officeDocument/2006/relationships/hyperlink" Target="https://rugsotic.com/" TargetMode="External"/><Relationship Id="rId915" Type="http://schemas.openxmlformats.org/officeDocument/2006/relationships/hyperlink" Target="mailto:info@malabargold.com" TargetMode="External"/><Relationship Id="rId347" Type="http://schemas.openxmlformats.org/officeDocument/2006/relationships/hyperlink" Target="https://godrejtyson.com/" TargetMode="External"/><Relationship Id="rId44" Type="http://schemas.openxmlformats.org/officeDocument/2006/relationships/hyperlink" Target="https://avantifeeds.com/" TargetMode="External"/><Relationship Id="rId554" Type="http://schemas.openxmlformats.org/officeDocument/2006/relationships/hyperlink" Target="https://tnpl.com/" TargetMode="External"/><Relationship Id="rId761" Type="http://schemas.openxmlformats.org/officeDocument/2006/relationships/hyperlink" Target="mailto:export@orientcraft.com" TargetMode="External"/><Relationship Id="rId859" Type="http://schemas.openxmlformats.org/officeDocument/2006/relationships/hyperlink" Target="https://cdos-india.com/" TargetMode="External"/><Relationship Id="rId193" Type="http://schemas.openxmlformats.org/officeDocument/2006/relationships/hyperlink" Target="mailto:sbro.guntur@nic.in" TargetMode="External"/><Relationship Id="rId207" Type="http://schemas.openxmlformats.org/officeDocument/2006/relationships/hyperlink" Target="mailto:info@jabsons.com" TargetMode="External"/><Relationship Id="rId414" Type="http://schemas.openxmlformats.org/officeDocument/2006/relationships/hyperlink" Target="https://mothersrecipe.com/" TargetMode="External"/><Relationship Id="rId498" Type="http://schemas.openxmlformats.org/officeDocument/2006/relationships/hyperlink" Target="mailto:export@hidesign.com" TargetMode="External"/><Relationship Id="rId621" Type="http://schemas.openxmlformats.org/officeDocument/2006/relationships/hyperlink" Target="mailto:cwdbjodhpur@gmail.com" TargetMode="External"/><Relationship Id="rId260" Type="http://schemas.openxmlformats.org/officeDocument/2006/relationships/hyperlink" Target="mailto:chairman@apeda.gov.in" TargetMode="External"/><Relationship Id="rId719" Type="http://schemas.openxmlformats.org/officeDocument/2006/relationships/hyperlink" Target="mailto:info@srtepc.in" TargetMode="External"/><Relationship Id="rId926" Type="http://schemas.openxmlformats.org/officeDocument/2006/relationships/hyperlink" Target="https://capexil.in/" TargetMode="External"/><Relationship Id="rId55" Type="http://schemas.openxmlformats.org/officeDocument/2006/relationships/hyperlink" Target="mailto:info@amarsagar.com" TargetMode="External"/><Relationship Id="rId120" Type="http://schemas.openxmlformats.org/officeDocument/2006/relationships/hyperlink" Target="mailto:info@srinidhibiotech.com" TargetMode="External"/><Relationship Id="rId358" Type="http://schemas.openxmlformats.org/officeDocument/2006/relationships/hyperlink" Target="https://rajshreesugars.com/" TargetMode="External"/><Relationship Id="rId565" Type="http://schemas.openxmlformats.org/officeDocument/2006/relationships/hyperlink" Target="mailto:ipma@ipma.co.in" TargetMode="External"/><Relationship Id="rId772" Type="http://schemas.openxmlformats.org/officeDocument/2006/relationships/hyperlink" Target="mailto:info@shahi.co.in" TargetMode="External"/><Relationship Id="rId218" Type="http://schemas.openxmlformats.org/officeDocument/2006/relationships/hyperlink" Target="https://apeda.gov.in/" TargetMode="External"/><Relationship Id="rId425" Type="http://schemas.openxmlformats.org/officeDocument/2006/relationships/hyperlink" Target="mailto:director.iihr@icar.gov.in" TargetMode="External"/><Relationship Id="rId632" Type="http://schemas.openxmlformats.org/officeDocument/2006/relationships/hyperlink" Target="https://textilescommittee.nic.in/" TargetMode="External"/><Relationship Id="rId271" Type="http://schemas.openxmlformats.org/officeDocument/2006/relationships/hyperlink" Target="mailto:info@jayantagro.com" TargetMode="External"/><Relationship Id="rId937" Type="http://schemas.openxmlformats.org/officeDocument/2006/relationships/hyperlink" Target="mailto:hepc@hepcindia.com" TargetMode="External"/><Relationship Id="rId66" Type="http://schemas.openxmlformats.org/officeDocument/2006/relationships/hyperlink" Target="mailto:info@skmegg.com" TargetMode="External"/><Relationship Id="rId131" Type="http://schemas.openxmlformats.org/officeDocument/2006/relationships/hyperlink" Target="mailto:apeda-nashik@apeda.gov.in" TargetMode="External"/><Relationship Id="rId369" Type="http://schemas.openxmlformats.org/officeDocument/2006/relationships/hyperlink" Target="https://campco.org/" TargetMode="External"/><Relationship Id="rId576" Type="http://schemas.openxmlformats.org/officeDocument/2006/relationships/hyperlink" Target="https://spbltd.com/" TargetMode="External"/><Relationship Id="rId783" Type="http://schemas.openxmlformats.org/officeDocument/2006/relationships/hyperlink" Target="https://richaglobal.com/" TargetMode="External"/><Relationship Id="rId229" Type="http://schemas.openxmlformats.org/officeDocument/2006/relationships/hyperlink" Target="mailto:info@grmrice.com" TargetMode="External"/><Relationship Id="rId436" Type="http://schemas.openxmlformats.org/officeDocument/2006/relationships/hyperlink" Target="https://veeba.in/" TargetMode="External"/><Relationship Id="rId643" Type="http://schemas.openxmlformats.org/officeDocument/2006/relationships/hyperlink" Target="mailto:export@kprmill.com" TargetMode="External"/><Relationship Id="rId850" Type="http://schemas.openxmlformats.org/officeDocument/2006/relationships/hyperlink" Target="mailto:info@featherindia.com" TargetMode="External"/><Relationship Id="rId948" Type="http://schemas.openxmlformats.org/officeDocument/2006/relationships/hyperlink" Target="https://godrejinterio.com/" TargetMode="External"/><Relationship Id="rId77" Type="http://schemas.openxmlformats.org/officeDocument/2006/relationships/hyperlink" Target="https://hatsun.com/" TargetMode="External"/><Relationship Id="rId282" Type="http://schemas.openxmlformats.org/officeDocument/2006/relationships/hyperlink" Target="https://iior.icar.gov.in/" TargetMode="External"/><Relationship Id="rId503" Type="http://schemas.openxmlformats.org/officeDocument/2006/relationships/hyperlink" Target="https://libertyleathergoods.com/" TargetMode="External"/><Relationship Id="rId587" Type="http://schemas.openxmlformats.org/officeDocument/2006/relationships/hyperlink" Target="mailto:info@fipindia.org" TargetMode="External"/><Relationship Id="rId710" Type="http://schemas.openxmlformats.org/officeDocument/2006/relationships/hyperlink" Target="https://iict.ac.in/" TargetMode="External"/><Relationship Id="rId808" Type="http://schemas.openxmlformats.org/officeDocument/2006/relationships/hyperlink" Target="https://leatherindia.org/" TargetMode="External"/><Relationship Id="rId8" Type="http://schemas.openxmlformats.org/officeDocument/2006/relationships/hyperlink" Target="https://allanasons.com/" TargetMode="External"/><Relationship Id="rId142" Type="http://schemas.openxmlformats.org/officeDocument/2006/relationships/hyperlink" Target="https://nhrdf.org/" TargetMode="External"/><Relationship Id="rId447" Type="http://schemas.openxmlformats.org/officeDocument/2006/relationships/hyperlink" Target="https://synthite.com/" TargetMode="External"/><Relationship Id="rId794" Type="http://schemas.openxmlformats.org/officeDocument/2006/relationships/hyperlink" Target="https://welspun.com/" TargetMode="External"/><Relationship Id="rId654" Type="http://schemas.openxmlformats.org/officeDocument/2006/relationships/hyperlink" Target="https://glosterjute.com/" TargetMode="External"/><Relationship Id="rId861" Type="http://schemas.openxmlformats.org/officeDocument/2006/relationships/hyperlink" Target="https://rkmarble.com/" TargetMode="External"/><Relationship Id="rId959" Type="http://schemas.openxmlformats.org/officeDocument/2006/relationships/hyperlink" Target="mailto:info@eoai.in" TargetMode="External"/><Relationship Id="rId293" Type="http://schemas.openxmlformats.org/officeDocument/2006/relationships/hyperlink" Target="mailto:info@lucidcolloids.com" TargetMode="External"/><Relationship Id="rId307" Type="http://schemas.openxmlformats.org/officeDocument/2006/relationships/hyperlink" Target="mailto:tribac.tripura@gmail.com" TargetMode="External"/><Relationship Id="rId514" Type="http://schemas.openxmlformats.org/officeDocument/2006/relationships/hyperlink" Target="https://clri.org/" TargetMode="External"/><Relationship Id="rId721" Type="http://schemas.openxmlformats.org/officeDocument/2006/relationships/hyperlink" Target="https://technicaltextiles.gov.in/" TargetMode="External"/><Relationship Id="rId88" Type="http://schemas.openxmlformats.org/officeDocument/2006/relationships/hyperlink" Target="mailto:director.ndri@icar.gov.in" TargetMode="External"/><Relationship Id="rId153" Type="http://schemas.openxmlformats.org/officeDocument/2006/relationships/hyperlink" Target="https://dogr.icar.gov.in/" TargetMode="External"/><Relationship Id="rId360" Type="http://schemas.openxmlformats.org/officeDocument/2006/relationships/hyperlink" Target="mailto:export@srisritattva.com" TargetMode="External"/><Relationship Id="rId598" Type="http://schemas.openxmlformats.org/officeDocument/2006/relationships/hyperlink" Target="https://nutechbooks.com/" TargetMode="External"/><Relationship Id="rId819" Type="http://schemas.openxmlformats.org/officeDocument/2006/relationships/hyperlink" Target="mailto:export@vkcgroup.com" TargetMode="External"/><Relationship Id="rId220" Type="http://schemas.openxmlformats.org/officeDocument/2006/relationships/hyperlink" Target="https://airia.in/" TargetMode="External"/><Relationship Id="rId458" Type="http://schemas.openxmlformats.org/officeDocument/2006/relationships/hyperlink" Target="mailto:info@sugunafoods.com" TargetMode="External"/><Relationship Id="rId665" Type="http://schemas.openxmlformats.org/officeDocument/2006/relationships/hyperlink" Target="https://indoramaventures.com/" TargetMode="External"/><Relationship Id="rId872" Type="http://schemas.openxmlformats.org/officeDocument/2006/relationships/hyperlink" Target="mailto:morbi@capexil.in" TargetMode="External"/><Relationship Id="rId15" Type="http://schemas.openxmlformats.org/officeDocument/2006/relationships/hyperlink" Target="mailto:info@hindagro.com" TargetMode="External"/><Relationship Id="rId318" Type="http://schemas.openxmlformats.org/officeDocument/2006/relationships/hyperlink" Target="mailto:eic@eicindia.gov.in" TargetMode="External"/><Relationship Id="rId525" Type="http://schemas.openxmlformats.org/officeDocument/2006/relationships/hyperlink" Target="mailto:export@duroply.in" TargetMode="External"/><Relationship Id="rId732" Type="http://schemas.openxmlformats.org/officeDocument/2006/relationships/hyperlink" Target="mailto:info@srtepc.in" TargetMode="External"/><Relationship Id="rId99" Type="http://schemas.openxmlformats.org/officeDocument/2006/relationships/hyperlink" Target="mailto:info@indiagelatine.com" TargetMode="External"/><Relationship Id="rId164" Type="http://schemas.openxmlformats.org/officeDocument/2006/relationships/hyperlink" Target="mailto:ppa@nic.in" TargetMode="External"/><Relationship Id="rId371" Type="http://schemas.openxmlformats.org/officeDocument/2006/relationships/hyperlink" Target="https://nestle.in/" TargetMode="External"/><Relationship Id="rId469" Type="http://schemas.openxmlformats.org/officeDocument/2006/relationships/hyperlink" Target="mailto:cle@leatherindia.org" TargetMode="External"/><Relationship Id="rId676" Type="http://schemas.openxmlformats.org/officeDocument/2006/relationships/hyperlink" Target="https://indoramaventures.com/" TargetMode="External"/><Relationship Id="rId883" Type="http://schemas.openxmlformats.org/officeDocument/2006/relationships/hyperlink" Target="https://cera-india.com/" TargetMode="External"/><Relationship Id="rId26" Type="http://schemas.openxmlformats.org/officeDocument/2006/relationships/hyperlink" Target="mailto:chairperson@mpeda.gov.in" TargetMode="External"/><Relationship Id="rId231" Type="http://schemas.openxmlformats.org/officeDocument/2006/relationships/hyperlink" Target="mailto:info@dunar.in" TargetMode="External"/><Relationship Id="rId329" Type="http://schemas.openxmlformats.org/officeDocument/2006/relationships/hyperlink" Target="https://anikindustries.com/" TargetMode="External"/><Relationship Id="rId536" Type="http://schemas.openxmlformats.org/officeDocument/2006/relationships/hyperlink" Target="https://epch.in/" TargetMode="External"/><Relationship Id="rId175" Type="http://schemas.openxmlformats.org/officeDocument/2006/relationships/hyperlink" Target="mailto:info@jainfarmfresh.com" TargetMode="External"/><Relationship Id="rId743" Type="http://schemas.openxmlformats.org/officeDocument/2006/relationships/hyperlink" Target="https://bks-textiles.com/" TargetMode="External"/><Relationship Id="rId950" Type="http://schemas.openxmlformats.org/officeDocument/2006/relationships/hyperlink" Target="https://nilkamal.com/" TargetMode="External"/><Relationship Id="rId382" Type="http://schemas.openxmlformats.org/officeDocument/2006/relationships/hyperlink" Target="mailto:chairman@apeda.gov.in" TargetMode="External"/><Relationship Id="rId603" Type="http://schemas.openxmlformats.org/officeDocument/2006/relationships/hyperlink" Target="mailto:csb@csb.gov.in" TargetMode="External"/><Relationship Id="rId687" Type="http://schemas.openxmlformats.org/officeDocument/2006/relationships/hyperlink" Target="https://nonwovensindia.com/" TargetMode="External"/><Relationship Id="rId810" Type="http://schemas.openxmlformats.org/officeDocument/2006/relationships/hyperlink" Target="https://cfla.in/" TargetMode="External"/><Relationship Id="rId908" Type="http://schemas.openxmlformats.org/officeDocument/2006/relationships/hyperlink" Target="mailto:gtl@gov.in" TargetMode="External"/><Relationship Id="rId242" Type="http://schemas.openxmlformats.org/officeDocument/2006/relationships/hyperlink" Target="mailto:chairman@apeda.gov.in" TargetMode="External"/><Relationship Id="rId894" Type="http://schemas.openxmlformats.org/officeDocument/2006/relationships/hyperlink" Target="mailto:info@borosil.com" TargetMode="External"/><Relationship Id="rId37" Type="http://schemas.openxmlformats.org/officeDocument/2006/relationships/hyperlink" Target="mailto:eic-kochi@eicindia.gov.in" TargetMode="External"/><Relationship Id="rId102" Type="http://schemas.openxmlformats.org/officeDocument/2006/relationships/hyperlink" Target="https://gelita.com/" TargetMode="External"/><Relationship Id="rId547" Type="http://schemas.openxmlformats.org/officeDocument/2006/relationships/hyperlink" Target="https://ipma.co.in/" TargetMode="External"/><Relationship Id="rId754" Type="http://schemas.openxmlformats.org/officeDocument/2006/relationships/hyperlink" Target="https://shahi.co.in/" TargetMode="External"/><Relationship Id="rId961" Type="http://schemas.openxmlformats.org/officeDocument/2006/relationships/hyperlink" Target="mailto:info@fafai.in" TargetMode="External"/><Relationship Id="rId90" Type="http://schemas.openxmlformats.org/officeDocument/2006/relationships/hyperlink" Target="mailto:referrallab-kochi@eicindia.gov.in" TargetMode="External"/><Relationship Id="rId186" Type="http://schemas.openxmlformats.org/officeDocument/2006/relationships/hyperlink" Target="https://nrcpomegranate.icar.gov.in/" TargetMode="External"/><Relationship Id="rId393" Type="http://schemas.openxmlformats.org/officeDocument/2006/relationships/hyperlink" Target="https://haldiram.com/" TargetMode="External"/><Relationship Id="rId407" Type="http://schemas.openxmlformats.org/officeDocument/2006/relationships/hyperlink" Target="mailto:info@jainfarmfresh.com" TargetMode="External"/><Relationship Id="rId614" Type="http://schemas.openxmlformats.org/officeDocument/2006/relationships/hyperlink" Target="https://reshamandi.com/" TargetMode="External"/><Relationship Id="rId821" Type="http://schemas.openxmlformats.org/officeDocument/2006/relationships/hyperlink" Target="mailto:export@khadims.com" TargetMode="External"/><Relationship Id="rId253" Type="http://schemas.openxmlformats.org/officeDocument/2006/relationships/hyperlink" Target="https://naturellindia.com/" TargetMode="External"/><Relationship Id="rId460" Type="http://schemas.openxmlformats.org/officeDocument/2006/relationships/hyperlink" Target="mailto:info@amritgroup.net" TargetMode="External"/><Relationship Id="rId698" Type="http://schemas.openxmlformats.org/officeDocument/2006/relationships/hyperlink" Target="https://cepc.co.in/" TargetMode="External"/><Relationship Id="rId919" Type="http://schemas.openxmlformats.org/officeDocument/2006/relationships/hyperlink" Target="mailto:eepcho@eepcindia.net" TargetMode="External"/><Relationship Id="rId48" Type="http://schemas.openxmlformats.org/officeDocument/2006/relationships/hyperlink" Target="https://westcoast.in/" TargetMode="External"/><Relationship Id="rId113" Type="http://schemas.openxmlformats.org/officeDocument/2006/relationships/hyperlink" Target="https://apeda.gov.in/" TargetMode="External"/><Relationship Id="rId320" Type="http://schemas.openxmlformats.org/officeDocument/2006/relationships/hyperlink" Target="mailto:gcmmf@amul.coop" TargetMode="External"/><Relationship Id="rId558" Type="http://schemas.openxmlformats.org/officeDocument/2006/relationships/hyperlink" Target="https://orientpaperindia.com/" TargetMode="External"/><Relationship Id="rId765" Type="http://schemas.openxmlformats.org/officeDocument/2006/relationships/hyperlink" Target="mailto:export@eastmanexports.com" TargetMode="External"/><Relationship Id="rId972" Type="http://schemas.openxmlformats.org/officeDocument/2006/relationships/hyperlink" Target="https://apeda.gov.in/" TargetMode="External"/><Relationship Id="rId197" Type="http://schemas.openxmlformats.org/officeDocument/2006/relationships/hyperlink" Target="mailto:info@synthite.com" TargetMode="External"/><Relationship Id="rId418" Type="http://schemas.openxmlformats.org/officeDocument/2006/relationships/hyperlink" Target="https://priyafoods.com/" TargetMode="External"/><Relationship Id="rId625" Type="http://schemas.openxmlformats.org/officeDocument/2006/relationships/hyperlink" Target="mailto:rajwool@rajasthan.gov.in" TargetMode="External"/><Relationship Id="rId832" Type="http://schemas.openxmlformats.org/officeDocument/2006/relationships/hyperlink" Target="https://aepcindia.com/" TargetMode="External"/><Relationship Id="rId264" Type="http://schemas.openxmlformats.org/officeDocument/2006/relationships/hyperlink" Target="mailto:solvent@mtnl.net.in" TargetMode="External"/><Relationship Id="rId471" Type="http://schemas.openxmlformats.org/officeDocument/2006/relationships/hyperlink" Target="mailto:cleknp@leatherindia.org" TargetMode="External"/><Relationship Id="rId59" Type="http://schemas.openxmlformats.org/officeDocument/2006/relationships/hyperlink" Target="https://devifisheries.com/" TargetMode="External"/><Relationship Id="rId124" Type="http://schemas.openxmlformats.org/officeDocument/2006/relationships/hyperlink" Target="https://lablandbiotech.com/" TargetMode="External"/><Relationship Id="rId569" Type="http://schemas.openxmlformats.org/officeDocument/2006/relationships/hyperlink" Target="https://avanthagroup.com/" TargetMode="External"/><Relationship Id="rId776" Type="http://schemas.openxmlformats.org/officeDocument/2006/relationships/hyperlink" Target="mailto:export@raymond.in" TargetMode="External"/><Relationship Id="rId331" Type="http://schemas.openxmlformats.org/officeDocument/2006/relationships/hyperlink" Target="https://allanasons.com/" TargetMode="External"/><Relationship Id="rId429" Type="http://schemas.openxmlformats.org/officeDocument/2006/relationships/hyperlink" Target="mailto:info@fieldfreshfoods.in" TargetMode="External"/><Relationship Id="rId636" Type="http://schemas.openxmlformats.org/officeDocument/2006/relationships/hyperlink" Target="https://vardhman.com/" TargetMode="External"/><Relationship Id="rId843" Type="http://schemas.openxmlformats.org/officeDocument/2006/relationships/hyperlink" Target="https://vipindustries.com/" TargetMode="External"/><Relationship Id="rId275" Type="http://schemas.openxmlformats.org/officeDocument/2006/relationships/hyperlink" Target="mailto:info@adaniwilmar.com" TargetMode="External"/><Relationship Id="rId482" Type="http://schemas.openxmlformats.org/officeDocument/2006/relationships/hyperlink" Target="https://farida.com/" TargetMode="External"/><Relationship Id="rId703" Type="http://schemas.openxmlformats.org/officeDocument/2006/relationships/hyperlink" Target="mailto:export@jaipurrugs.com" TargetMode="External"/><Relationship Id="rId910" Type="http://schemas.openxmlformats.org/officeDocument/2006/relationships/hyperlink" Target="https://gjc.org.in/" TargetMode="External"/><Relationship Id="rId135" Type="http://schemas.openxmlformats.org/officeDocument/2006/relationships/hyperlink" Target="mailto:md@nhb.gov.in" TargetMode="External"/><Relationship Id="rId342" Type="http://schemas.openxmlformats.org/officeDocument/2006/relationships/hyperlink" Target="https://alkabeer.com/" TargetMode="External"/><Relationship Id="rId787" Type="http://schemas.openxmlformats.org/officeDocument/2006/relationships/hyperlink" Target="https://naecindia.com/" TargetMode="External"/><Relationship Id="rId202" Type="http://schemas.openxmlformats.org/officeDocument/2006/relationships/hyperlink" Target="https://plantlipids.com/" TargetMode="External"/><Relationship Id="rId647" Type="http://schemas.openxmlformats.org/officeDocument/2006/relationships/hyperlink" Target="mailto:njb@njbindia.org" TargetMode="External"/><Relationship Id="rId854" Type="http://schemas.openxmlformats.org/officeDocument/2006/relationships/hyperlink" Target="https://capexil.in/" TargetMode="External"/><Relationship Id="rId286" Type="http://schemas.openxmlformats.org/officeDocument/2006/relationships/hyperlink" Target="https://shefexil.org/" TargetMode="External"/><Relationship Id="rId493" Type="http://schemas.openxmlformats.org/officeDocument/2006/relationships/hyperlink" Target="https://tatainternational.com/" TargetMode="External"/><Relationship Id="rId507" Type="http://schemas.openxmlformats.org/officeDocument/2006/relationships/hyperlink" Target="https://leatherindia.org/" TargetMode="External"/><Relationship Id="rId714" Type="http://schemas.openxmlformats.org/officeDocument/2006/relationships/hyperlink" Target="https://pdexcil.org/" TargetMode="External"/><Relationship Id="rId921" Type="http://schemas.openxmlformats.org/officeDocument/2006/relationships/hyperlink" Target="mailto:htai@handtoolsindia.org" TargetMode="External"/><Relationship Id="rId50" Type="http://schemas.openxmlformats.org/officeDocument/2006/relationships/hyperlink" Target="https://libertygroup.in/" TargetMode="External"/><Relationship Id="rId146" Type="http://schemas.openxmlformats.org/officeDocument/2006/relationships/hyperlink" Target="https://reitzelgroup.com/" TargetMode="External"/><Relationship Id="rId353" Type="http://schemas.openxmlformats.org/officeDocument/2006/relationships/hyperlink" Target="https://apeda.gov.in/" TargetMode="External"/><Relationship Id="rId560" Type="http://schemas.openxmlformats.org/officeDocument/2006/relationships/hyperlink" Target="https://yashpakka.com/" TargetMode="External"/><Relationship Id="rId798" Type="http://schemas.openxmlformats.org/officeDocument/2006/relationships/hyperlink" Target="https://himatsingka.com/" TargetMode="External"/><Relationship Id="rId213" Type="http://schemas.openxmlformats.org/officeDocument/2006/relationships/hyperlink" Target="mailto:director.spices@icar.gov.in" TargetMode="External"/><Relationship Id="rId420" Type="http://schemas.openxmlformats.org/officeDocument/2006/relationships/hyperlink" Target="https://eastern.in/" TargetMode="External"/><Relationship Id="rId658" Type="http://schemas.openxmlformats.org/officeDocument/2006/relationships/hyperlink" Target="https://aichampdany.com/" TargetMode="External"/><Relationship Id="rId865" Type="http://schemas.openxmlformats.org/officeDocument/2006/relationships/hyperlink" Target="https://pokarna.com/" TargetMode="External"/><Relationship Id="rId297" Type="http://schemas.openxmlformats.org/officeDocument/2006/relationships/hyperlink" Target="mailto:info@agrogums.com" TargetMode="External"/><Relationship Id="rId518" Type="http://schemas.openxmlformats.org/officeDocument/2006/relationships/hyperlink" Target="https://epch.in/" TargetMode="External"/><Relationship Id="rId725" Type="http://schemas.openxmlformats.org/officeDocument/2006/relationships/hyperlink" Target="https://srf.com/" TargetMode="External"/><Relationship Id="rId932" Type="http://schemas.openxmlformats.org/officeDocument/2006/relationships/hyperlink" Target="https://titan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4"/>
  <sheetViews>
    <sheetView tabSelected="1" workbookViewId="0"/>
  </sheetViews>
  <sheetFormatPr defaultRowHeight="15" x14ac:dyDescent="0.25"/>
  <cols>
    <col min="17" max="17" width="13.42578125" bestFit="1" customWidth="1"/>
  </cols>
  <sheetData>
    <row r="1" spans="1:2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3" spans="1:21" ht="45.75" customHeight="1" x14ac:dyDescent="0.2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f>91-11-11-26514044</f>
        <v>-26513975</v>
      </c>
      <c r="H3" s="3" t="s">
        <v>26</v>
      </c>
      <c r="I3" s="3" t="s">
        <v>27</v>
      </c>
      <c r="J3" s="2" t="s">
        <v>28</v>
      </c>
      <c r="K3" s="2"/>
      <c r="L3" s="2" t="s">
        <v>29</v>
      </c>
      <c r="M3" s="2" t="s">
        <v>30</v>
      </c>
      <c r="N3" s="2"/>
      <c r="O3" s="2"/>
      <c r="P3" s="2" t="s">
        <v>31</v>
      </c>
      <c r="Q3" s="4">
        <v>45971</v>
      </c>
      <c r="R3" s="2" t="s">
        <v>32</v>
      </c>
      <c r="S3" s="2">
        <v>1</v>
      </c>
      <c r="T3" s="2" t="s">
        <v>33</v>
      </c>
      <c r="U3" s="2" t="s">
        <v>34</v>
      </c>
    </row>
    <row r="4" spans="1:21" ht="180" x14ac:dyDescent="0.25">
      <c r="A4" s="2">
        <v>2</v>
      </c>
      <c r="B4" s="2" t="s">
        <v>35</v>
      </c>
      <c r="C4" s="2" t="s">
        <v>22</v>
      </c>
      <c r="D4" s="2" t="s">
        <v>36</v>
      </c>
      <c r="E4" s="2" t="s">
        <v>37</v>
      </c>
      <c r="F4" s="2" t="s">
        <v>38</v>
      </c>
      <c r="G4" s="2">
        <f>91-22-24362971</f>
        <v>-24362902</v>
      </c>
      <c r="H4" s="3" t="s">
        <v>39</v>
      </c>
      <c r="I4" s="3" t="s">
        <v>27</v>
      </c>
      <c r="J4" s="2" t="s">
        <v>40</v>
      </c>
      <c r="K4" s="2"/>
      <c r="L4" s="2"/>
      <c r="M4" s="2" t="s">
        <v>41</v>
      </c>
      <c r="N4" s="2"/>
      <c r="O4" s="2"/>
      <c r="P4" s="2" t="s">
        <v>31</v>
      </c>
      <c r="Q4" s="4">
        <v>45976</v>
      </c>
      <c r="R4" s="2"/>
      <c r="S4" s="2">
        <v>1</v>
      </c>
      <c r="T4" s="2" t="s">
        <v>33</v>
      </c>
      <c r="U4" s="2" t="s">
        <v>34</v>
      </c>
    </row>
    <row r="5" spans="1:21" ht="135" x14ac:dyDescent="0.25">
      <c r="A5" s="2">
        <v>2</v>
      </c>
      <c r="B5" s="2" t="s">
        <v>42</v>
      </c>
      <c r="C5" s="2" t="s">
        <v>22</v>
      </c>
      <c r="D5" s="2" t="s">
        <v>43</v>
      </c>
      <c r="E5" s="2" t="s">
        <v>44</v>
      </c>
      <c r="F5" s="2" t="s">
        <v>38</v>
      </c>
      <c r="G5" s="2">
        <f>91-40-23237375</f>
        <v>-23237324</v>
      </c>
      <c r="H5" s="3" t="s">
        <v>45</v>
      </c>
      <c r="I5" s="3" t="s">
        <v>27</v>
      </c>
      <c r="J5" s="2" t="s">
        <v>46</v>
      </c>
      <c r="K5" s="2"/>
      <c r="L5" s="2"/>
      <c r="M5" s="2" t="s">
        <v>47</v>
      </c>
      <c r="N5" s="2"/>
      <c r="O5" s="2"/>
      <c r="P5" s="2" t="s">
        <v>31</v>
      </c>
      <c r="Q5" s="4">
        <v>45976</v>
      </c>
      <c r="R5" s="2"/>
      <c r="S5" s="2">
        <v>1</v>
      </c>
      <c r="T5" s="2" t="s">
        <v>33</v>
      </c>
      <c r="U5" s="2" t="s">
        <v>34</v>
      </c>
    </row>
    <row r="6" spans="1:21" ht="165" x14ac:dyDescent="0.25">
      <c r="A6" s="2">
        <v>2</v>
      </c>
      <c r="B6" s="2" t="s">
        <v>48</v>
      </c>
      <c r="C6" s="2" t="s">
        <v>22</v>
      </c>
      <c r="D6" s="2" t="s">
        <v>23</v>
      </c>
      <c r="E6" s="2" t="s">
        <v>24</v>
      </c>
      <c r="F6" s="2" t="s">
        <v>49</v>
      </c>
      <c r="G6" s="2">
        <f>91-11-23341252</f>
        <v>-23341172</v>
      </c>
      <c r="H6" s="3" t="s">
        <v>50</v>
      </c>
      <c r="I6" s="3" t="s">
        <v>51</v>
      </c>
      <c r="J6" s="2" t="s">
        <v>52</v>
      </c>
      <c r="K6" s="2"/>
      <c r="L6" s="2"/>
      <c r="M6" s="2" t="s">
        <v>53</v>
      </c>
      <c r="N6" s="2"/>
      <c r="O6" s="2"/>
      <c r="P6" s="2" t="s">
        <v>31</v>
      </c>
      <c r="Q6" s="4">
        <v>45979</v>
      </c>
      <c r="R6" s="2" t="s">
        <v>54</v>
      </c>
      <c r="S6" s="2">
        <v>1</v>
      </c>
      <c r="T6" s="2" t="s">
        <v>33</v>
      </c>
      <c r="U6" s="2" t="s">
        <v>34</v>
      </c>
    </row>
    <row r="7" spans="1:21" ht="150" x14ac:dyDescent="0.25">
      <c r="A7" s="2">
        <v>2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>
        <f>91-22-22628000</f>
        <v>-22627931</v>
      </c>
      <c r="H7" s="3" t="s">
        <v>60</v>
      </c>
      <c r="I7" s="3" t="s">
        <v>61</v>
      </c>
      <c r="J7" s="2" t="s">
        <v>62</v>
      </c>
      <c r="K7" s="2"/>
      <c r="L7" s="2"/>
      <c r="M7" s="2"/>
      <c r="N7" s="2"/>
      <c r="O7" s="2"/>
      <c r="P7" s="2" t="s">
        <v>31</v>
      </c>
      <c r="Q7" s="4">
        <v>45971</v>
      </c>
      <c r="R7" s="2" t="s">
        <v>63</v>
      </c>
      <c r="S7" s="2">
        <v>1</v>
      </c>
      <c r="T7" s="2" t="s">
        <v>33</v>
      </c>
      <c r="U7" s="2" t="s">
        <v>34</v>
      </c>
    </row>
    <row r="8" spans="1:21" ht="150" x14ac:dyDescent="0.25">
      <c r="A8" s="2">
        <v>2</v>
      </c>
      <c r="B8" s="2" t="s">
        <v>64</v>
      </c>
      <c r="C8" s="2" t="s">
        <v>56</v>
      </c>
      <c r="D8" s="2" t="s">
        <v>43</v>
      </c>
      <c r="E8" s="2" t="s">
        <v>65</v>
      </c>
      <c r="F8" s="2" t="s">
        <v>59</v>
      </c>
      <c r="G8" s="2">
        <f>91-40-23090234</f>
        <v>-23090183</v>
      </c>
      <c r="H8" s="3" t="s">
        <v>66</v>
      </c>
      <c r="I8" s="3" t="s">
        <v>67</v>
      </c>
      <c r="J8" s="2" t="s">
        <v>68</v>
      </c>
      <c r="K8" s="2"/>
      <c r="L8" s="2" t="s">
        <v>69</v>
      </c>
      <c r="M8" s="2"/>
      <c r="N8" s="2"/>
      <c r="O8" s="2"/>
      <c r="P8" s="2" t="s">
        <v>31</v>
      </c>
      <c r="Q8" s="4">
        <v>45971</v>
      </c>
      <c r="R8" s="2" t="s">
        <v>70</v>
      </c>
      <c r="S8" s="2">
        <v>1</v>
      </c>
      <c r="T8" s="2" t="s">
        <v>33</v>
      </c>
      <c r="U8" s="2" t="s">
        <v>34</v>
      </c>
    </row>
    <row r="9" spans="1:21" ht="75" x14ac:dyDescent="0.25">
      <c r="A9" s="2">
        <v>2</v>
      </c>
      <c r="B9" s="2" t="s">
        <v>71</v>
      </c>
      <c r="C9" s="2" t="s">
        <v>56</v>
      </c>
      <c r="D9" s="2" t="s">
        <v>57</v>
      </c>
      <c r="E9" s="2" t="s">
        <v>72</v>
      </c>
      <c r="F9" s="2" t="s">
        <v>59</v>
      </c>
      <c r="G9" s="2">
        <f>91-571-2905288</f>
        <v>-2905768</v>
      </c>
      <c r="H9" s="3" t="s">
        <v>73</v>
      </c>
      <c r="I9" s="3" t="s">
        <v>74</v>
      </c>
      <c r="J9" s="2" t="s">
        <v>75</v>
      </c>
      <c r="K9" s="2"/>
      <c r="L9" s="2" t="s">
        <v>69</v>
      </c>
      <c r="M9" s="2"/>
      <c r="N9" s="2"/>
      <c r="O9" s="2"/>
      <c r="P9" s="2" t="s">
        <v>31</v>
      </c>
      <c r="Q9" s="4">
        <v>45971</v>
      </c>
      <c r="R9" s="2" t="s">
        <v>76</v>
      </c>
      <c r="S9" s="2">
        <v>1</v>
      </c>
      <c r="T9" s="2" t="s">
        <v>33</v>
      </c>
      <c r="U9" s="2" t="s">
        <v>34</v>
      </c>
    </row>
    <row r="10" spans="1:21" ht="75" x14ac:dyDescent="0.25">
      <c r="A10" s="2">
        <v>2</v>
      </c>
      <c r="B10" s="2" t="s">
        <v>77</v>
      </c>
      <c r="C10" s="2" t="s">
        <v>56</v>
      </c>
      <c r="D10" s="2" t="s">
        <v>36</v>
      </c>
      <c r="E10" s="2" t="s">
        <v>78</v>
      </c>
      <c r="F10" s="2" t="s">
        <v>59</v>
      </c>
      <c r="G10" s="2">
        <f>91-22-22628000</f>
        <v>-22627931</v>
      </c>
      <c r="H10" s="2"/>
      <c r="I10" s="3" t="s">
        <v>61</v>
      </c>
      <c r="J10" s="2" t="s">
        <v>79</v>
      </c>
      <c r="K10" s="2"/>
      <c r="L10" s="2"/>
      <c r="M10" s="2"/>
      <c r="N10" s="2"/>
      <c r="O10" s="2"/>
      <c r="P10" s="2" t="s">
        <v>31</v>
      </c>
      <c r="Q10" s="4">
        <v>45971</v>
      </c>
      <c r="R10" s="2" t="s">
        <v>80</v>
      </c>
      <c r="S10" s="2">
        <v>1</v>
      </c>
      <c r="T10" s="2" t="s">
        <v>33</v>
      </c>
      <c r="U10" s="2" t="s">
        <v>34</v>
      </c>
    </row>
    <row r="11" spans="1:21" ht="75" x14ac:dyDescent="0.25">
      <c r="A11" s="2">
        <v>2</v>
      </c>
      <c r="B11" s="2" t="s">
        <v>81</v>
      </c>
      <c r="C11" s="2" t="s">
        <v>56</v>
      </c>
      <c r="D11" s="2" t="s">
        <v>57</v>
      </c>
      <c r="E11" s="2" t="s">
        <v>82</v>
      </c>
      <c r="F11" s="2" t="s">
        <v>59</v>
      </c>
      <c r="G11" s="2">
        <f>91-121-2510480</f>
        <v>-2510510</v>
      </c>
      <c r="H11" s="3" t="s">
        <v>83</v>
      </c>
      <c r="I11" s="2"/>
      <c r="J11" s="2" t="s">
        <v>84</v>
      </c>
      <c r="K11" s="2"/>
      <c r="L11" s="2"/>
      <c r="M11" s="2"/>
      <c r="N11" s="2"/>
      <c r="O11" s="2"/>
      <c r="P11" s="2" t="s">
        <v>31</v>
      </c>
      <c r="Q11" s="4">
        <v>45971</v>
      </c>
      <c r="R11" s="2" t="s">
        <v>85</v>
      </c>
      <c r="S11" s="2">
        <v>1</v>
      </c>
      <c r="T11" s="2" t="s">
        <v>33</v>
      </c>
      <c r="U11" s="2" t="s">
        <v>34</v>
      </c>
    </row>
    <row r="12" spans="1:21" ht="75" x14ac:dyDescent="0.25">
      <c r="A12" s="2">
        <v>2</v>
      </c>
      <c r="B12" s="2" t="s">
        <v>86</v>
      </c>
      <c r="C12" s="2" t="s">
        <v>56</v>
      </c>
      <c r="D12" s="2" t="s">
        <v>57</v>
      </c>
      <c r="E12" s="2" t="s">
        <v>72</v>
      </c>
      <c r="F12" s="2" t="s">
        <v>59</v>
      </c>
      <c r="G12" s="2">
        <f>91-571-2905199</f>
        <v>-2905679</v>
      </c>
      <c r="H12" s="3" t="s">
        <v>87</v>
      </c>
      <c r="I12" s="3" t="s">
        <v>88</v>
      </c>
      <c r="J12" s="2" t="s">
        <v>89</v>
      </c>
      <c r="K12" s="2"/>
      <c r="L12" s="2" t="s">
        <v>69</v>
      </c>
      <c r="M12" s="2"/>
      <c r="N12" s="2"/>
      <c r="O12" s="2"/>
      <c r="P12" s="2" t="s">
        <v>31</v>
      </c>
      <c r="Q12" s="4">
        <v>45971</v>
      </c>
      <c r="R12" s="2" t="s">
        <v>90</v>
      </c>
      <c r="S12" s="2">
        <v>1</v>
      </c>
      <c r="T12" s="2" t="s">
        <v>33</v>
      </c>
      <c r="U12" s="2" t="s">
        <v>34</v>
      </c>
    </row>
    <row r="13" spans="1:21" ht="45" x14ac:dyDescent="0.25">
      <c r="A13" s="2">
        <v>2</v>
      </c>
      <c r="B13" s="2" t="s">
        <v>91</v>
      </c>
      <c r="C13" s="2" t="s">
        <v>56</v>
      </c>
      <c r="D13" s="2" t="s">
        <v>57</v>
      </c>
      <c r="E13" s="2" t="s">
        <v>58</v>
      </c>
      <c r="F13" s="2" t="s">
        <v>59</v>
      </c>
      <c r="G13" s="2">
        <f>91-515-2687890</f>
        <v>-2688314</v>
      </c>
      <c r="H13" s="2"/>
      <c r="I13" s="3" t="s">
        <v>92</v>
      </c>
      <c r="J13" s="2" t="s">
        <v>93</v>
      </c>
      <c r="K13" s="2"/>
      <c r="L13" s="2"/>
      <c r="M13" s="2"/>
      <c r="N13" s="2"/>
      <c r="O13" s="2"/>
      <c r="P13" s="2" t="s">
        <v>31</v>
      </c>
      <c r="Q13" s="4">
        <v>45971</v>
      </c>
      <c r="R13" s="2"/>
      <c r="S13" s="2">
        <v>1</v>
      </c>
      <c r="T13" s="2" t="s">
        <v>33</v>
      </c>
      <c r="U13" s="2" t="s">
        <v>34</v>
      </c>
    </row>
    <row r="14" spans="1:21" ht="150" x14ac:dyDescent="0.25">
      <c r="A14" s="2">
        <v>2</v>
      </c>
      <c r="B14" s="2" t="s">
        <v>94</v>
      </c>
      <c r="C14" s="2" t="s">
        <v>56</v>
      </c>
      <c r="D14" s="2" t="s">
        <v>36</v>
      </c>
      <c r="E14" s="2" t="s">
        <v>95</v>
      </c>
      <c r="F14" s="2" t="s">
        <v>59</v>
      </c>
      <c r="G14" s="2">
        <f>91-20-26810300</f>
        <v>-26810229</v>
      </c>
      <c r="H14" s="3" t="s">
        <v>96</v>
      </c>
      <c r="I14" s="3" t="s">
        <v>97</v>
      </c>
      <c r="J14" s="2" t="s">
        <v>98</v>
      </c>
      <c r="K14" s="2"/>
      <c r="L14" s="2" t="s">
        <v>99</v>
      </c>
      <c r="M14" s="2"/>
      <c r="N14" s="2"/>
      <c r="O14" s="2"/>
      <c r="P14" s="2" t="s">
        <v>31</v>
      </c>
      <c r="Q14" s="4">
        <v>45971</v>
      </c>
      <c r="R14" s="2" t="s">
        <v>100</v>
      </c>
      <c r="S14" s="2">
        <v>1</v>
      </c>
      <c r="T14" s="2" t="s">
        <v>33</v>
      </c>
      <c r="U14" s="2" t="s">
        <v>34</v>
      </c>
    </row>
    <row r="15" spans="1:21" ht="75" x14ac:dyDescent="0.25">
      <c r="A15" s="2">
        <v>2</v>
      </c>
      <c r="B15" s="2" t="s">
        <v>101</v>
      </c>
      <c r="C15" s="2" t="s">
        <v>56</v>
      </c>
      <c r="D15" s="2" t="s">
        <v>102</v>
      </c>
      <c r="E15" s="2" t="s">
        <v>103</v>
      </c>
      <c r="F15" s="2" t="s">
        <v>59</v>
      </c>
      <c r="G15" s="2">
        <f>91-422-3073000</f>
        <v>-3073331</v>
      </c>
      <c r="H15" s="3" t="s">
        <v>104</v>
      </c>
      <c r="I15" s="3" t="s">
        <v>105</v>
      </c>
      <c r="J15" s="2" t="s">
        <v>106</v>
      </c>
      <c r="K15" s="2"/>
      <c r="L15" s="2" t="s">
        <v>107</v>
      </c>
      <c r="M15" s="2"/>
      <c r="N15" s="2"/>
      <c r="O15" s="2"/>
      <c r="P15" s="2" t="s">
        <v>31</v>
      </c>
      <c r="Q15" s="4">
        <v>45971</v>
      </c>
      <c r="R15" s="2" t="s">
        <v>108</v>
      </c>
      <c r="S15" s="2">
        <v>1</v>
      </c>
      <c r="T15" s="2" t="s">
        <v>33</v>
      </c>
      <c r="U15" s="2" t="s">
        <v>34</v>
      </c>
    </row>
    <row r="16" spans="1:21" ht="60" x14ac:dyDescent="0.25">
      <c r="A16" s="2">
        <v>2</v>
      </c>
      <c r="B16" s="2" t="s">
        <v>109</v>
      </c>
      <c r="C16" s="2" t="s">
        <v>56</v>
      </c>
      <c r="D16" s="2" t="s">
        <v>36</v>
      </c>
      <c r="E16" s="2" t="s">
        <v>95</v>
      </c>
      <c r="F16" s="2"/>
      <c r="G16" s="2">
        <f>91-20-26810300</f>
        <v>-26810229</v>
      </c>
      <c r="H16" s="2"/>
      <c r="I16" s="3" t="s">
        <v>97</v>
      </c>
      <c r="J16" s="2" t="s">
        <v>110</v>
      </c>
      <c r="K16" s="2"/>
      <c r="L16" s="2"/>
      <c r="M16" s="2"/>
      <c r="N16" s="2"/>
      <c r="O16" s="2"/>
      <c r="P16" s="2" t="s">
        <v>31</v>
      </c>
      <c r="Q16" s="4">
        <v>45971</v>
      </c>
      <c r="R16" s="2" t="s">
        <v>111</v>
      </c>
      <c r="S16" s="2">
        <v>1</v>
      </c>
      <c r="T16" s="2" t="s">
        <v>33</v>
      </c>
      <c r="U16" s="2" t="s">
        <v>34</v>
      </c>
    </row>
    <row r="17" spans="1:21" ht="105" x14ac:dyDescent="0.25">
      <c r="A17" s="2">
        <v>2</v>
      </c>
      <c r="B17" s="2" t="s">
        <v>112</v>
      </c>
      <c r="C17" s="2" t="s">
        <v>22</v>
      </c>
      <c r="D17" s="2" t="s">
        <v>23</v>
      </c>
      <c r="E17" s="2" t="s">
        <v>24</v>
      </c>
      <c r="F17" s="2" t="s">
        <v>113</v>
      </c>
      <c r="G17" s="2">
        <f>91-11-26491404</f>
        <v>-26491324</v>
      </c>
      <c r="H17" s="3" t="s">
        <v>114</v>
      </c>
      <c r="I17" s="2"/>
      <c r="J17" s="2" t="s">
        <v>115</v>
      </c>
      <c r="K17" s="2"/>
      <c r="L17" s="2"/>
      <c r="M17" s="2" t="s">
        <v>116</v>
      </c>
      <c r="N17" s="2"/>
      <c r="O17" s="2"/>
      <c r="P17" s="2" t="s">
        <v>31</v>
      </c>
      <c r="Q17" s="4">
        <v>45962</v>
      </c>
      <c r="R17" s="2" t="s">
        <v>117</v>
      </c>
      <c r="S17" s="2">
        <v>1</v>
      </c>
      <c r="T17" s="2" t="s">
        <v>33</v>
      </c>
      <c r="U17" s="2" t="s">
        <v>34</v>
      </c>
    </row>
    <row r="18" spans="1:21" ht="105" x14ac:dyDescent="0.25">
      <c r="A18" s="2">
        <v>2</v>
      </c>
      <c r="B18" s="2" t="s">
        <v>118</v>
      </c>
      <c r="C18" s="2" t="s">
        <v>119</v>
      </c>
      <c r="D18" s="2" t="s">
        <v>43</v>
      </c>
      <c r="E18" s="2" t="s">
        <v>44</v>
      </c>
      <c r="F18" s="2" t="s">
        <v>49</v>
      </c>
      <c r="G18" s="2">
        <f>91-40-29805901</f>
        <v>-29805850</v>
      </c>
      <c r="H18" s="3" t="s">
        <v>120</v>
      </c>
      <c r="I18" s="3" t="s">
        <v>121</v>
      </c>
      <c r="J18" s="2" t="s">
        <v>122</v>
      </c>
      <c r="K18" s="2"/>
      <c r="L18" s="2"/>
      <c r="M18" s="2" t="s">
        <v>123</v>
      </c>
      <c r="N18" s="2"/>
      <c r="O18" s="2"/>
      <c r="P18" s="2" t="s">
        <v>31</v>
      </c>
      <c r="Q18" s="4">
        <v>45979</v>
      </c>
      <c r="R18" s="2" t="s">
        <v>124</v>
      </c>
      <c r="S18" s="2">
        <v>1</v>
      </c>
      <c r="T18" s="2" t="s">
        <v>33</v>
      </c>
      <c r="U18" s="2" t="s">
        <v>34</v>
      </c>
    </row>
    <row r="19" spans="1:21" ht="45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13</v>
      </c>
      <c r="O19" s="1" t="s">
        <v>14</v>
      </c>
      <c r="P19" s="1" t="s">
        <v>15</v>
      </c>
      <c r="Q19" s="1" t="s">
        <v>16</v>
      </c>
      <c r="R19" s="1" t="s">
        <v>17</v>
      </c>
      <c r="S19" s="1" t="s">
        <v>18</v>
      </c>
      <c r="T19" s="1" t="s">
        <v>19</v>
      </c>
      <c r="U19" s="1" t="s">
        <v>20</v>
      </c>
    </row>
    <row r="20" spans="1:21" ht="165" x14ac:dyDescent="0.25">
      <c r="A20" s="2">
        <v>3</v>
      </c>
      <c r="B20" s="2" t="s">
        <v>125</v>
      </c>
      <c r="C20" s="2" t="s">
        <v>22</v>
      </c>
      <c r="D20" s="2" t="s">
        <v>126</v>
      </c>
      <c r="E20" s="2" t="s">
        <v>127</v>
      </c>
      <c r="F20" s="2" t="s">
        <v>25</v>
      </c>
      <c r="G20" s="2">
        <f>91-484-2311979</f>
        <v>-2312372</v>
      </c>
      <c r="H20" s="3" t="s">
        <v>128</v>
      </c>
      <c r="I20" s="3" t="s">
        <v>129</v>
      </c>
      <c r="J20" s="2" t="s">
        <v>130</v>
      </c>
      <c r="K20" s="2"/>
      <c r="L20" s="2" t="s">
        <v>131</v>
      </c>
      <c r="M20" s="2"/>
      <c r="N20" s="2" t="s">
        <v>30</v>
      </c>
      <c r="O20" s="2"/>
      <c r="P20" s="2" t="s">
        <v>31</v>
      </c>
      <c r="Q20" s="4">
        <v>45979</v>
      </c>
      <c r="R20" s="2" t="s">
        <v>132</v>
      </c>
      <c r="S20" s="2">
        <v>3</v>
      </c>
      <c r="T20" s="2" t="s">
        <v>133</v>
      </c>
      <c r="U20" s="2" t="s">
        <v>34</v>
      </c>
    </row>
    <row r="21" spans="1:21" ht="90" x14ac:dyDescent="0.25">
      <c r="A21" s="2">
        <v>3</v>
      </c>
      <c r="B21" s="2" t="s">
        <v>134</v>
      </c>
      <c r="C21" s="2" t="s">
        <v>22</v>
      </c>
      <c r="D21" s="2" t="s">
        <v>135</v>
      </c>
      <c r="E21" s="2" t="s">
        <v>136</v>
      </c>
      <c r="F21" s="2" t="s">
        <v>38</v>
      </c>
      <c r="G21" s="2">
        <f>91-866-2494205</f>
        <v>-2494980</v>
      </c>
      <c r="H21" s="3" t="s">
        <v>137</v>
      </c>
      <c r="I21" s="3" t="s">
        <v>129</v>
      </c>
      <c r="J21" s="2" t="s">
        <v>138</v>
      </c>
      <c r="K21" s="2"/>
      <c r="L21" s="2"/>
      <c r="M21" s="2"/>
      <c r="N21" s="2" t="s">
        <v>139</v>
      </c>
      <c r="O21" s="2"/>
      <c r="P21" s="2" t="s">
        <v>31</v>
      </c>
      <c r="Q21" s="4">
        <v>45979</v>
      </c>
      <c r="R21" s="2"/>
      <c r="S21" s="2">
        <v>3</v>
      </c>
      <c r="T21" s="2" t="s">
        <v>133</v>
      </c>
      <c r="U21" s="2" t="s">
        <v>34</v>
      </c>
    </row>
    <row r="22" spans="1:21" ht="90" x14ac:dyDescent="0.25">
      <c r="A22" s="2">
        <v>3</v>
      </c>
      <c r="B22" s="2" t="s">
        <v>140</v>
      </c>
      <c r="C22" s="2" t="s">
        <v>22</v>
      </c>
      <c r="D22" s="2" t="s">
        <v>141</v>
      </c>
      <c r="E22" s="2" t="s">
        <v>142</v>
      </c>
      <c r="F22" s="2" t="s">
        <v>38</v>
      </c>
      <c r="G22" s="2">
        <f>91-674-2563805</f>
        <v>-2564388</v>
      </c>
      <c r="H22" s="3" t="s">
        <v>143</v>
      </c>
      <c r="I22" s="3" t="s">
        <v>129</v>
      </c>
      <c r="J22" s="2" t="s">
        <v>144</v>
      </c>
      <c r="K22" s="2"/>
      <c r="L22" s="2"/>
      <c r="M22" s="2"/>
      <c r="N22" s="2" t="s">
        <v>145</v>
      </c>
      <c r="O22" s="2"/>
      <c r="P22" s="2" t="s">
        <v>31</v>
      </c>
      <c r="Q22" s="4">
        <v>45979</v>
      </c>
      <c r="R22" s="2"/>
      <c r="S22" s="2">
        <v>3</v>
      </c>
      <c r="T22" s="2" t="s">
        <v>133</v>
      </c>
      <c r="U22" s="2" t="s">
        <v>34</v>
      </c>
    </row>
    <row r="23" spans="1:21" ht="105" x14ac:dyDescent="0.25">
      <c r="A23" s="2">
        <v>3</v>
      </c>
      <c r="B23" s="2" t="s">
        <v>146</v>
      </c>
      <c r="C23" s="2" t="s">
        <v>22</v>
      </c>
      <c r="D23" s="2" t="s">
        <v>147</v>
      </c>
      <c r="E23" s="2" t="s">
        <v>148</v>
      </c>
      <c r="F23" s="2" t="s">
        <v>38</v>
      </c>
      <c r="G23" s="2">
        <f>91-33-23376472</f>
        <v>-23376414</v>
      </c>
      <c r="H23" s="3" t="s">
        <v>149</v>
      </c>
      <c r="I23" s="3" t="s">
        <v>129</v>
      </c>
      <c r="J23" s="2" t="s">
        <v>150</v>
      </c>
      <c r="K23" s="2"/>
      <c r="L23" s="2"/>
      <c r="M23" s="2"/>
      <c r="N23" s="2" t="s">
        <v>151</v>
      </c>
      <c r="O23" s="2"/>
      <c r="P23" s="2" t="s">
        <v>31</v>
      </c>
      <c r="Q23" s="4">
        <v>45979</v>
      </c>
      <c r="R23" s="2"/>
      <c r="S23" s="2">
        <v>3</v>
      </c>
      <c r="T23" s="2" t="s">
        <v>133</v>
      </c>
      <c r="U23" s="2" t="s">
        <v>34</v>
      </c>
    </row>
    <row r="24" spans="1:21" ht="60" x14ac:dyDescent="0.25">
      <c r="A24" s="2">
        <v>3</v>
      </c>
      <c r="B24" s="2" t="s">
        <v>152</v>
      </c>
      <c r="C24" s="2" t="s">
        <v>22</v>
      </c>
      <c r="D24" s="2" t="s">
        <v>153</v>
      </c>
      <c r="E24" s="2" t="s">
        <v>154</v>
      </c>
      <c r="F24" s="2" t="s">
        <v>38</v>
      </c>
      <c r="G24" s="2">
        <f>91-2876-231312</f>
        <v>-234097</v>
      </c>
      <c r="H24" s="2"/>
      <c r="I24" s="3" t="s">
        <v>129</v>
      </c>
      <c r="J24" s="2" t="s">
        <v>155</v>
      </c>
      <c r="K24" s="2"/>
      <c r="L24" s="2"/>
      <c r="M24" s="2"/>
      <c r="N24" s="2" t="s">
        <v>156</v>
      </c>
      <c r="O24" s="2"/>
      <c r="P24" s="2" t="s">
        <v>31</v>
      </c>
      <c r="Q24" s="4">
        <v>45979</v>
      </c>
      <c r="R24" s="2"/>
      <c r="S24" s="2">
        <v>3</v>
      </c>
      <c r="T24" s="2" t="s">
        <v>133</v>
      </c>
      <c r="U24" s="2" t="s">
        <v>34</v>
      </c>
    </row>
    <row r="25" spans="1:21" ht="90" x14ac:dyDescent="0.25">
      <c r="A25" s="2">
        <v>3</v>
      </c>
      <c r="B25" s="2" t="s">
        <v>157</v>
      </c>
      <c r="C25" s="2" t="s">
        <v>22</v>
      </c>
      <c r="D25" s="2" t="s">
        <v>102</v>
      </c>
      <c r="E25" s="2" t="s">
        <v>158</v>
      </c>
      <c r="F25" s="2" t="s">
        <v>38</v>
      </c>
      <c r="G25" s="2">
        <f>91-44-28278755</f>
        <v>-28278708</v>
      </c>
      <c r="H25" s="3" t="s">
        <v>159</v>
      </c>
      <c r="I25" s="3" t="s">
        <v>129</v>
      </c>
      <c r="J25" s="2" t="s">
        <v>160</v>
      </c>
      <c r="K25" s="2"/>
      <c r="L25" s="2"/>
      <c r="M25" s="2"/>
      <c r="N25" s="2" t="s">
        <v>161</v>
      </c>
      <c r="O25" s="2"/>
      <c r="P25" s="2" t="s">
        <v>31</v>
      </c>
      <c r="Q25" s="4">
        <v>45979</v>
      </c>
      <c r="R25" s="2"/>
      <c r="S25" s="2">
        <v>3</v>
      </c>
      <c r="T25" s="2" t="s">
        <v>133</v>
      </c>
      <c r="U25" s="2" t="s">
        <v>34</v>
      </c>
    </row>
    <row r="26" spans="1:21" ht="75" x14ac:dyDescent="0.25">
      <c r="A26" s="2">
        <v>3</v>
      </c>
      <c r="B26" s="2" t="s">
        <v>162</v>
      </c>
      <c r="C26" s="2" t="s">
        <v>22</v>
      </c>
      <c r="D26" s="2" t="s">
        <v>126</v>
      </c>
      <c r="E26" s="2" t="s">
        <v>127</v>
      </c>
      <c r="F26" s="2" t="s">
        <v>163</v>
      </c>
      <c r="G26" s="2">
        <f>91-484-2427560</f>
        <v>-2427953</v>
      </c>
      <c r="H26" s="3" t="s">
        <v>164</v>
      </c>
      <c r="I26" s="3" t="s">
        <v>51</v>
      </c>
      <c r="J26" s="2" t="s">
        <v>165</v>
      </c>
      <c r="K26" s="2"/>
      <c r="L26" s="2" t="s">
        <v>166</v>
      </c>
      <c r="M26" s="2"/>
      <c r="N26" s="2"/>
      <c r="O26" s="2"/>
      <c r="P26" s="2" t="s">
        <v>31</v>
      </c>
      <c r="Q26" s="4">
        <v>45979</v>
      </c>
      <c r="R26" s="2" t="s">
        <v>167</v>
      </c>
      <c r="S26" s="2">
        <v>3</v>
      </c>
      <c r="T26" s="2" t="s">
        <v>133</v>
      </c>
      <c r="U26" s="2" t="s">
        <v>34</v>
      </c>
    </row>
    <row r="27" spans="1:21" ht="120" x14ac:dyDescent="0.25">
      <c r="A27" s="2">
        <v>3</v>
      </c>
      <c r="B27" s="2" t="s">
        <v>168</v>
      </c>
      <c r="C27" s="2" t="s">
        <v>22</v>
      </c>
      <c r="D27" s="2" t="s">
        <v>43</v>
      </c>
      <c r="E27" s="2" t="s">
        <v>44</v>
      </c>
      <c r="F27" s="2" t="s">
        <v>169</v>
      </c>
      <c r="G27" s="2">
        <f>91-40-24000277</f>
        <v>-24000226</v>
      </c>
      <c r="H27" s="3" t="s">
        <v>170</v>
      </c>
      <c r="I27" s="3" t="s">
        <v>171</v>
      </c>
      <c r="J27" s="2" t="s">
        <v>172</v>
      </c>
      <c r="K27" s="2"/>
      <c r="L27" s="2" t="s">
        <v>173</v>
      </c>
      <c r="M27" s="2"/>
      <c r="N27" s="2"/>
      <c r="O27" s="2"/>
      <c r="P27" s="2" t="s">
        <v>31</v>
      </c>
      <c r="Q27" s="4">
        <v>45979</v>
      </c>
      <c r="R27" s="2"/>
      <c r="S27" s="2">
        <v>3</v>
      </c>
      <c r="T27" s="2" t="s">
        <v>133</v>
      </c>
      <c r="U27" s="2" t="s">
        <v>34</v>
      </c>
    </row>
    <row r="28" spans="1:21" ht="105" x14ac:dyDescent="0.25">
      <c r="A28" s="2">
        <v>3</v>
      </c>
      <c r="B28" s="2" t="s">
        <v>174</v>
      </c>
      <c r="C28" s="2" t="s">
        <v>119</v>
      </c>
      <c r="D28" s="2" t="s">
        <v>126</v>
      </c>
      <c r="E28" s="2" t="s">
        <v>127</v>
      </c>
      <c r="F28" s="2" t="s">
        <v>49</v>
      </c>
      <c r="G28" s="2">
        <f>91-484-2412300</f>
        <v>-2412693</v>
      </c>
      <c r="H28" s="3" t="s">
        <v>175</v>
      </c>
      <c r="I28" s="3" t="s">
        <v>176</v>
      </c>
      <c r="J28" s="2" t="s">
        <v>165</v>
      </c>
      <c r="K28" s="2"/>
      <c r="L28" s="2" t="s">
        <v>177</v>
      </c>
      <c r="M28" s="2"/>
      <c r="N28" s="2"/>
      <c r="O28" s="2"/>
      <c r="P28" s="2" t="s">
        <v>31</v>
      </c>
      <c r="Q28" s="4">
        <v>45979</v>
      </c>
      <c r="R28" s="2"/>
      <c r="S28" s="2">
        <v>3</v>
      </c>
      <c r="T28" s="2" t="s">
        <v>133</v>
      </c>
      <c r="U28" s="2" t="s">
        <v>34</v>
      </c>
    </row>
    <row r="29" spans="1:21" ht="105" x14ac:dyDescent="0.25">
      <c r="A29" s="2">
        <v>3</v>
      </c>
      <c r="B29" s="2" t="s">
        <v>178</v>
      </c>
      <c r="C29" s="2" t="s">
        <v>56</v>
      </c>
      <c r="D29" s="2" t="s">
        <v>135</v>
      </c>
      <c r="E29" s="2" t="s">
        <v>179</v>
      </c>
      <c r="F29" s="2" t="s">
        <v>180</v>
      </c>
      <c r="G29" s="2">
        <f>91-884-2323132</f>
        <v>-2323925</v>
      </c>
      <c r="H29" s="3" t="s">
        <v>181</v>
      </c>
      <c r="I29" s="3" t="s">
        <v>182</v>
      </c>
      <c r="J29" s="2" t="s">
        <v>183</v>
      </c>
      <c r="K29" s="2"/>
      <c r="L29" s="2" t="s">
        <v>184</v>
      </c>
      <c r="M29" s="2"/>
      <c r="N29" s="2"/>
      <c r="O29" s="2"/>
      <c r="P29" s="2" t="s">
        <v>31</v>
      </c>
      <c r="Q29" s="4">
        <v>45971</v>
      </c>
      <c r="R29" s="2" t="s">
        <v>185</v>
      </c>
      <c r="S29" s="2">
        <v>3</v>
      </c>
      <c r="T29" s="2" t="s">
        <v>133</v>
      </c>
      <c r="U29" s="2" t="s">
        <v>34</v>
      </c>
    </row>
    <row r="30" spans="1:21" ht="120" x14ac:dyDescent="0.25">
      <c r="A30" s="2">
        <v>3</v>
      </c>
      <c r="B30" s="2" t="s">
        <v>186</v>
      </c>
      <c r="C30" s="2" t="s">
        <v>56</v>
      </c>
      <c r="D30" s="2" t="s">
        <v>135</v>
      </c>
      <c r="E30" s="2" t="s">
        <v>187</v>
      </c>
      <c r="F30" s="2" t="s">
        <v>59</v>
      </c>
      <c r="G30" s="2">
        <f>91-891-2562676</f>
        <v>-2563476</v>
      </c>
      <c r="H30" s="3" t="s">
        <v>188</v>
      </c>
      <c r="I30" s="3" t="s">
        <v>189</v>
      </c>
      <c r="J30" s="2" t="s">
        <v>190</v>
      </c>
      <c r="K30" s="2"/>
      <c r="L30" s="2" t="s">
        <v>69</v>
      </c>
      <c r="M30" s="2"/>
      <c r="N30" s="2"/>
      <c r="O30" s="2"/>
      <c r="P30" s="2" t="s">
        <v>31</v>
      </c>
      <c r="Q30" s="4">
        <v>45971</v>
      </c>
      <c r="R30" s="2" t="s">
        <v>191</v>
      </c>
      <c r="S30" s="2">
        <v>3</v>
      </c>
      <c r="T30" s="2" t="s">
        <v>133</v>
      </c>
      <c r="U30" s="2" t="s">
        <v>34</v>
      </c>
    </row>
    <row r="31" spans="1:21" ht="75" x14ac:dyDescent="0.25">
      <c r="A31" s="2">
        <v>3</v>
      </c>
      <c r="B31" s="2" t="s">
        <v>192</v>
      </c>
      <c r="C31" s="2" t="s">
        <v>56</v>
      </c>
      <c r="D31" s="2" t="s">
        <v>126</v>
      </c>
      <c r="E31" s="2" t="s">
        <v>127</v>
      </c>
      <c r="F31" s="2" t="s">
        <v>59</v>
      </c>
      <c r="G31" s="2">
        <f>91-484-2352746</f>
        <v>-2353139</v>
      </c>
      <c r="H31" s="3" t="s">
        <v>193</v>
      </c>
      <c r="I31" s="3" t="s">
        <v>194</v>
      </c>
      <c r="J31" s="2" t="s">
        <v>195</v>
      </c>
      <c r="K31" s="2"/>
      <c r="L31" s="2" t="s">
        <v>69</v>
      </c>
      <c r="M31" s="2"/>
      <c r="N31" s="2"/>
      <c r="O31" s="2"/>
      <c r="P31" s="2" t="s">
        <v>31</v>
      </c>
      <c r="Q31" s="4">
        <v>45971</v>
      </c>
      <c r="R31" s="2"/>
      <c r="S31" s="2">
        <v>3</v>
      </c>
      <c r="T31" s="2" t="s">
        <v>133</v>
      </c>
      <c r="U31" s="2" t="s">
        <v>34</v>
      </c>
    </row>
    <row r="32" spans="1:21" ht="60" x14ac:dyDescent="0.25">
      <c r="A32" s="2">
        <v>3</v>
      </c>
      <c r="B32" s="2" t="s">
        <v>196</v>
      </c>
      <c r="C32" s="2" t="s">
        <v>56</v>
      </c>
      <c r="D32" s="2" t="s">
        <v>153</v>
      </c>
      <c r="E32" s="2" t="s">
        <v>154</v>
      </c>
      <c r="F32" s="2" t="s">
        <v>59</v>
      </c>
      <c r="G32" s="2">
        <f>91-2876-231313</f>
        <v>-234098</v>
      </c>
      <c r="H32" s="3" t="s">
        <v>197</v>
      </c>
      <c r="I32" s="3" t="s">
        <v>198</v>
      </c>
      <c r="J32" s="2" t="s">
        <v>155</v>
      </c>
      <c r="K32" s="2"/>
      <c r="L32" s="2" t="s">
        <v>69</v>
      </c>
      <c r="M32" s="2"/>
      <c r="N32" s="2"/>
      <c r="O32" s="2"/>
      <c r="P32" s="2" t="s">
        <v>31</v>
      </c>
      <c r="Q32" s="4">
        <v>45971</v>
      </c>
      <c r="R32" s="2" t="s">
        <v>199</v>
      </c>
      <c r="S32" s="2">
        <v>3</v>
      </c>
      <c r="T32" s="2" t="s">
        <v>133</v>
      </c>
      <c r="U32" s="2" t="s">
        <v>34</v>
      </c>
    </row>
    <row r="33" spans="1:21" ht="60" x14ac:dyDescent="0.25">
      <c r="A33" s="2">
        <v>3</v>
      </c>
      <c r="B33" s="2" t="s">
        <v>200</v>
      </c>
      <c r="C33" s="2" t="s">
        <v>56</v>
      </c>
      <c r="D33" s="2" t="s">
        <v>141</v>
      </c>
      <c r="E33" s="2" t="s">
        <v>201</v>
      </c>
      <c r="F33" s="2" t="s">
        <v>59</v>
      </c>
      <c r="G33" s="2">
        <f>91-6781-222444</f>
        <v>-229134</v>
      </c>
      <c r="H33" s="3" t="s">
        <v>202</v>
      </c>
      <c r="I33" s="3" t="s">
        <v>203</v>
      </c>
      <c r="J33" s="2" t="s">
        <v>204</v>
      </c>
      <c r="K33" s="2"/>
      <c r="L33" s="2" t="s">
        <v>69</v>
      </c>
      <c r="M33" s="2"/>
      <c r="N33" s="2"/>
      <c r="O33" s="2"/>
      <c r="P33" s="2" t="s">
        <v>31</v>
      </c>
      <c r="Q33" s="4">
        <v>45971</v>
      </c>
      <c r="R33" s="2" t="s">
        <v>205</v>
      </c>
      <c r="S33" s="2">
        <v>3</v>
      </c>
      <c r="T33" s="2" t="s">
        <v>133</v>
      </c>
      <c r="U33" s="2" t="s">
        <v>34</v>
      </c>
    </row>
    <row r="34" spans="1:21" ht="120" x14ac:dyDescent="0.25">
      <c r="A34" s="2">
        <v>3</v>
      </c>
      <c r="B34" s="2" t="s">
        <v>206</v>
      </c>
      <c r="C34" s="2" t="s">
        <v>56</v>
      </c>
      <c r="D34" s="2" t="s">
        <v>147</v>
      </c>
      <c r="E34" s="2" t="s">
        <v>148</v>
      </c>
      <c r="F34" s="2" t="s">
        <v>59</v>
      </c>
      <c r="G34" s="2">
        <f>91-33-39849675</f>
        <v>-39849617</v>
      </c>
      <c r="H34" s="3" t="s">
        <v>207</v>
      </c>
      <c r="I34" s="3" t="s">
        <v>208</v>
      </c>
      <c r="J34" s="2" t="s">
        <v>209</v>
      </c>
      <c r="K34" s="2"/>
      <c r="L34" s="2" t="s">
        <v>210</v>
      </c>
      <c r="M34" s="2"/>
      <c r="N34" s="2"/>
      <c r="O34" s="2"/>
      <c r="P34" s="2" t="s">
        <v>31</v>
      </c>
      <c r="Q34" s="4">
        <v>45971</v>
      </c>
      <c r="R34" s="2" t="s">
        <v>211</v>
      </c>
      <c r="S34" s="2">
        <v>3</v>
      </c>
      <c r="T34" s="2" t="s">
        <v>133</v>
      </c>
      <c r="U34" s="2" t="s">
        <v>34</v>
      </c>
    </row>
    <row r="35" spans="1:21" ht="90" x14ac:dyDescent="0.25">
      <c r="A35" s="2">
        <v>3</v>
      </c>
      <c r="B35" s="2" t="s">
        <v>212</v>
      </c>
      <c r="C35" s="2" t="s">
        <v>56</v>
      </c>
      <c r="D35" s="2" t="s">
        <v>102</v>
      </c>
      <c r="E35" s="2" t="s">
        <v>213</v>
      </c>
      <c r="F35" s="2" t="s">
        <v>59</v>
      </c>
      <c r="G35" s="2">
        <f>91-461-2345678</f>
        <v>-2346048</v>
      </c>
      <c r="H35" s="3" t="s">
        <v>214</v>
      </c>
      <c r="I35" s="2"/>
      <c r="J35" s="2" t="s">
        <v>215</v>
      </c>
      <c r="K35" s="2"/>
      <c r="L35" s="2" t="s">
        <v>210</v>
      </c>
      <c r="M35" s="2"/>
      <c r="N35" s="2"/>
      <c r="O35" s="2"/>
      <c r="P35" s="2" t="s">
        <v>31</v>
      </c>
      <c r="Q35" s="4">
        <v>45955</v>
      </c>
      <c r="R35" s="2"/>
      <c r="S35" s="2">
        <v>3</v>
      </c>
      <c r="T35" s="2" t="s">
        <v>133</v>
      </c>
      <c r="U35" s="2" t="s">
        <v>34</v>
      </c>
    </row>
    <row r="36" spans="1:21" ht="60" x14ac:dyDescent="0.25">
      <c r="A36" s="2">
        <v>3</v>
      </c>
      <c r="B36" s="2" t="s">
        <v>216</v>
      </c>
      <c r="C36" s="2" t="s">
        <v>56</v>
      </c>
      <c r="D36" s="2" t="s">
        <v>135</v>
      </c>
      <c r="E36" s="2" t="s">
        <v>217</v>
      </c>
      <c r="F36" s="2" t="s">
        <v>59</v>
      </c>
      <c r="G36" s="2">
        <f>91-8816-225566</f>
        <v>-234291</v>
      </c>
      <c r="H36" s="3" t="s">
        <v>218</v>
      </c>
      <c r="I36" s="3" t="s">
        <v>219</v>
      </c>
      <c r="J36" s="2" t="s">
        <v>220</v>
      </c>
      <c r="K36" s="2"/>
      <c r="L36" s="2" t="s">
        <v>69</v>
      </c>
      <c r="M36" s="2"/>
      <c r="N36" s="2"/>
      <c r="O36" s="2"/>
      <c r="P36" s="2" t="s">
        <v>31</v>
      </c>
      <c r="Q36" s="4">
        <v>45971</v>
      </c>
      <c r="R36" s="2" t="s">
        <v>191</v>
      </c>
      <c r="S36" s="2">
        <v>3</v>
      </c>
      <c r="T36" s="2" t="s">
        <v>133</v>
      </c>
      <c r="U36" s="2" t="s">
        <v>34</v>
      </c>
    </row>
    <row r="37" spans="1:21" ht="75" x14ac:dyDescent="0.25">
      <c r="A37" s="2">
        <v>3</v>
      </c>
      <c r="B37" s="2" t="s">
        <v>221</v>
      </c>
      <c r="C37" s="2" t="s">
        <v>56</v>
      </c>
      <c r="D37" s="2" t="s">
        <v>135</v>
      </c>
      <c r="E37" s="2" t="s">
        <v>187</v>
      </c>
      <c r="F37" s="2" t="s">
        <v>59</v>
      </c>
      <c r="G37" s="2">
        <f>91-891-2563484</f>
        <v>-2564284</v>
      </c>
      <c r="H37" s="3" t="s">
        <v>222</v>
      </c>
      <c r="I37" s="3" t="s">
        <v>223</v>
      </c>
      <c r="J37" s="2" t="s">
        <v>224</v>
      </c>
      <c r="K37" s="2"/>
      <c r="L37" s="2" t="s">
        <v>69</v>
      </c>
      <c r="M37" s="2"/>
      <c r="N37" s="2"/>
      <c r="O37" s="2"/>
      <c r="P37" s="2" t="s">
        <v>31</v>
      </c>
      <c r="Q37" s="4">
        <v>45971</v>
      </c>
      <c r="R37" s="2"/>
      <c r="S37" s="2">
        <v>3</v>
      </c>
      <c r="T37" s="2" t="s">
        <v>133</v>
      </c>
      <c r="U37" s="2" t="s">
        <v>34</v>
      </c>
    </row>
    <row r="38" spans="1:21" ht="45" x14ac:dyDescent="0.25">
      <c r="A38" s="2">
        <v>3</v>
      </c>
      <c r="B38" s="2" t="s">
        <v>225</v>
      </c>
      <c r="C38" s="2" t="s">
        <v>56</v>
      </c>
      <c r="D38" s="2" t="s">
        <v>135</v>
      </c>
      <c r="E38" s="2" t="s">
        <v>179</v>
      </c>
      <c r="F38" s="2" t="s">
        <v>59</v>
      </c>
      <c r="G38" s="2">
        <f>91-8857-234567</f>
        <v>-243333</v>
      </c>
      <c r="H38" s="3" t="s">
        <v>226</v>
      </c>
      <c r="I38" s="3" t="s">
        <v>227</v>
      </c>
      <c r="J38" s="2" t="s">
        <v>228</v>
      </c>
      <c r="K38" s="2"/>
      <c r="L38" s="2" t="s">
        <v>69</v>
      </c>
      <c r="M38" s="2"/>
      <c r="N38" s="2"/>
      <c r="O38" s="2"/>
      <c r="P38" s="2" t="s">
        <v>31</v>
      </c>
      <c r="Q38" s="4">
        <v>45971</v>
      </c>
      <c r="R38" s="2" t="s">
        <v>205</v>
      </c>
      <c r="S38" s="2">
        <v>3</v>
      </c>
      <c r="T38" s="2" t="s">
        <v>133</v>
      </c>
      <c r="U38" s="2" t="s">
        <v>34</v>
      </c>
    </row>
    <row r="39" spans="1:21" ht="45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  <c r="R39" s="1" t="s">
        <v>17</v>
      </c>
      <c r="S39" s="1" t="s">
        <v>18</v>
      </c>
      <c r="T39" s="1" t="s">
        <v>19</v>
      </c>
      <c r="U39" s="1" t="s">
        <v>20</v>
      </c>
    </row>
    <row r="40" spans="1:21" ht="195" x14ac:dyDescent="0.25">
      <c r="A40" s="2">
        <v>4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>
        <f>91-11-26514044</f>
        <v>-26513964</v>
      </c>
      <c r="H40" s="3" t="s">
        <v>26</v>
      </c>
      <c r="I40" s="3" t="s">
        <v>27</v>
      </c>
      <c r="J40" s="2" t="s">
        <v>28</v>
      </c>
      <c r="K40" s="2"/>
      <c r="L40" s="2"/>
      <c r="M40" s="2" t="s">
        <v>30</v>
      </c>
      <c r="N40" s="2"/>
      <c r="O40" s="2" t="s">
        <v>229</v>
      </c>
      <c r="P40" s="2" t="s">
        <v>31</v>
      </c>
      <c r="Q40" s="4">
        <v>45976</v>
      </c>
      <c r="R40" s="2" t="s">
        <v>230</v>
      </c>
      <c r="S40" s="2">
        <v>1</v>
      </c>
      <c r="T40" s="2" t="s">
        <v>231</v>
      </c>
      <c r="U40" s="2" t="s">
        <v>34</v>
      </c>
    </row>
    <row r="41" spans="1:21" ht="120" x14ac:dyDescent="0.25">
      <c r="A41" s="2">
        <v>4</v>
      </c>
      <c r="B41" s="2" t="s">
        <v>232</v>
      </c>
      <c r="C41" s="2" t="s">
        <v>233</v>
      </c>
      <c r="D41" s="2" t="s">
        <v>153</v>
      </c>
      <c r="E41" s="2" t="s">
        <v>234</v>
      </c>
      <c r="F41" s="2" t="s">
        <v>59</v>
      </c>
      <c r="G41" s="2">
        <f>91-2692-260148</f>
        <v>-262749</v>
      </c>
      <c r="H41" s="3" t="s">
        <v>235</v>
      </c>
      <c r="I41" s="3" t="s">
        <v>236</v>
      </c>
      <c r="J41" s="2" t="s">
        <v>237</v>
      </c>
      <c r="K41" s="2"/>
      <c r="L41" s="2"/>
      <c r="M41" s="2"/>
      <c r="N41" s="2"/>
      <c r="O41" s="2"/>
      <c r="P41" s="2" t="s">
        <v>31</v>
      </c>
      <c r="Q41" s="4">
        <v>45971</v>
      </c>
      <c r="R41" s="2" t="s">
        <v>238</v>
      </c>
      <c r="S41" s="2">
        <v>1</v>
      </c>
      <c r="T41" s="2" t="s">
        <v>231</v>
      </c>
      <c r="U41" s="2" t="s">
        <v>34</v>
      </c>
    </row>
    <row r="42" spans="1:21" ht="120" x14ac:dyDescent="0.25">
      <c r="A42" s="2">
        <v>4</v>
      </c>
      <c r="B42" s="2" t="s">
        <v>239</v>
      </c>
      <c r="C42" s="2" t="s">
        <v>56</v>
      </c>
      <c r="D42" s="2" t="s">
        <v>102</v>
      </c>
      <c r="E42" s="2" t="s">
        <v>240</v>
      </c>
      <c r="F42" s="2" t="s">
        <v>59</v>
      </c>
      <c r="G42" s="2">
        <f>91-4286-262333</f>
        <v>-266528</v>
      </c>
      <c r="H42" s="3" t="s">
        <v>241</v>
      </c>
      <c r="I42" s="3" t="s">
        <v>242</v>
      </c>
      <c r="J42" s="2" t="s">
        <v>243</v>
      </c>
      <c r="K42" s="2"/>
      <c r="L42" s="2" t="s">
        <v>244</v>
      </c>
      <c r="M42" s="2" t="s">
        <v>245</v>
      </c>
      <c r="N42" s="2"/>
      <c r="O42" s="2" t="s">
        <v>246</v>
      </c>
      <c r="P42" s="2" t="s">
        <v>31</v>
      </c>
      <c r="Q42" s="4">
        <v>45973</v>
      </c>
      <c r="R42" s="2" t="s">
        <v>247</v>
      </c>
      <c r="S42" s="2">
        <v>1</v>
      </c>
      <c r="T42" s="2" t="s">
        <v>231</v>
      </c>
      <c r="U42" s="2" t="s">
        <v>34</v>
      </c>
    </row>
    <row r="43" spans="1:21" ht="75" x14ac:dyDescent="0.25">
      <c r="A43" s="2">
        <v>4</v>
      </c>
      <c r="B43" s="2" t="s">
        <v>248</v>
      </c>
      <c r="C43" s="2" t="s">
        <v>56</v>
      </c>
      <c r="D43" s="2" t="s">
        <v>249</v>
      </c>
      <c r="E43" s="2" t="s">
        <v>250</v>
      </c>
      <c r="F43" s="2" t="s">
        <v>59</v>
      </c>
      <c r="G43" s="2">
        <f>91-7718-244400</f>
        <v>-252027</v>
      </c>
      <c r="H43" s="3" t="s">
        <v>251</v>
      </c>
      <c r="I43" s="3" t="s">
        <v>252</v>
      </c>
      <c r="J43" s="2" t="s">
        <v>253</v>
      </c>
      <c r="K43" s="2"/>
      <c r="L43" s="2" t="s">
        <v>254</v>
      </c>
      <c r="M43" s="2" t="s">
        <v>255</v>
      </c>
      <c r="N43" s="2"/>
      <c r="O43" s="2" t="s">
        <v>256</v>
      </c>
      <c r="P43" s="2" t="s">
        <v>31</v>
      </c>
      <c r="Q43" s="4">
        <v>45976</v>
      </c>
      <c r="R43" s="2" t="s">
        <v>257</v>
      </c>
      <c r="S43" s="2">
        <v>1</v>
      </c>
      <c r="T43" s="2" t="s">
        <v>231</v>
      </c>
      <c r="U43" s="2" t="s">
        <v>34</v>
      </c>
    </row>
    <row r="44" spans="1:21" ht="75" x14ac:dyDescent="0.25">
      <c r="A44" s="2">
        <v>4</v>
      </c>
      <c r="B44" s="2" t="s">
        <v>258</v>
      </c>
      <c r="C44" s="2" t="s">
        <v>56</v>
      </c>
      <c r="D44" s="2" t="s">
        <v>36</v>
      </c>
      <c r="E44" s="2" t="s">
        <v>95</v>
      </c>
      <c r="F44" s="2" t="s">
        <v>59</v>
      </c>
      <c r="G44" s="2">
        <f>91-20-26810300</f>
        <v>-26810229</v>
      </c>
      <c r="H44" s="3" t="s">
        <v>96</v>
      </c>
      <c r="I44" s="3" t="s">
        <v>97</v>
      </c>
      <c r="J44" s="2" t="s">
        <v>259</v>
      </c>
      <c r="K44" s="2"/>
      <c r="L44" s="2" t="s">
        <v>260</v>
      </c>
      <c r="M44" s="2" t="s">
        <v>261</v>
      </c>
      <c r="N44" s="2"/>
      <c r="O44" s="2"/>
      <c r="P44" s="2" t="s">
        <v>31</v>
      </c>
      <c r="Q44" s="4">
        <v>45971</v>
      </c>
      <c r="R44" s="2" t="s">
        <v>262</v>
      </c>
      <c r="S44" s="2">
        <v>1</v>
      </c>
      <c r="T44" s="2" t="s">
        <v>231</v>
      </c>
      <c r="U44" s="2" t="s">
        <v>34</v>
      </c>
    </row>
    <row r="45" spans="1:21" ht="90" x14ac:dyDescent="0.25">
      <c r="A45" s="2">
        <v>4</v>
      </c>
      <c r="B45" s="2" t="s">
        <v>263</v>
      </c>
      <c r="C45" s="2" t="s">
        <v>56</v>
      </c>
      <c r="D45" s="2" t="s">
        <v>126</v>
      </c>
      <c r="E45" s="2" t="s">
        <v>127</v>
      </c>
      <c r="F45" s="2" t="s">
        <v>59</v>
      </c>
      <c r="G45" s="2">
        <f>91-484-2352746</f>
        <v>-2353139</v>
      </c>
      <c r="H45" s="3" t="s">
        <v>193</v>
      </c>
      <c r="I45" s="3" t="s">
        <v>194</v>
      </c>
      <c r="J45" s="2" t="s">
        <v>264</v>
      </c>
      <c r="K45" s="2"/>
      <c r="L45" s="2" t="s">
        <v>265</v>
      </c>
      <c r="M45" s="2" t="s">
        <v>266</v>
      </c>
      <c r="N45" s="2"/>
      <c r="O45" s="2" t="s">
        <v>267</v>
      </c>
      <c r="P45" s="2" t="s">
        <v>31</v>
      </c>
      <c r="Q45" s="4">
        <v>45973</v>
      </c>
      <c r="R45" s="2" t="s">
        <v>268</v>
      </c>
      <c r="S45" s="2">
        <v>1</v>
      </c>
      <c r="T45" s="2" t="s">
        <v>231</v>
      </c>
      <c r="U45" s="2" t="s">
        <v>34</v>
      </c>
    </row>
    <row r="46" spans="1:21" ht="120" x14ac:dyDescent="0.25">
      <c r="A46" s="2">
        <v>4</v>
      </c>
      <c r="B46" s="2" t="s">
        <v>269</v>
      </c>
      <c r="C46" s="2" t="s">
        <v>56</v>
      </c>
      <c r="D46" s="2" t="s">
        <v>153</v>
      </c>
      <c r="E46" s="2" t="s">
        <v>234</v>
      </c>
      <c r="F46" s="2" t="s">
        <v>59</v>
      </c>
      <c r="G46" s="2">
        <f>91-2692-258506</f>
        <v>-261107</v>
      </c>
      <c r="H46" s="3" t="s">
        <v>270</v>
      </c>
      <c r="I46" s="3" t="s">
        <v>271</v>
      </c>
      <c r="J46" s="2" t="s">
        <v>272</v>
      </c>
      <c r="K46" s="2"/>
      <c r="L46" s="2" t="s">
        <v>273</v>
      </c>
      <c r="M46" s="2" t="s">
        <v>274</v>
      </c>
      <c r="N46" s="2"/>
      <c r="O46" s="2" t="s">
        <v>275</v>
      </c>
      <c r="P46" s="2" t="s">
        <v>31</v>
      </c>
      <c r="Q46" s="4">
        <v>45979</v>
      </c>
      <c r="R46" s="2" t="s">
        <v>276</v>
      </c>
      <c r="S46" s="2">
        <v>1</v>
      </c>
      <c r="T46" s="2" t="s">
        <v>231</v>
      </c>
      <c r="U46" s="2" t="s">
        <v>34</v>
      </c>
    </row>
    <row r="47" spans="1:21" ht="150" x14ac:dyDescent="0.25">
      <c r="A47" s="2">
        <v>4</v>
      </c>
      <c r="B47" s="2" t="s">
        <v>277</v>
      </c>
      <c r="C47" s="2" t="s">
        <v>56</v>
      </c>
      <c r="D47" s="2" t="s">
        <v>102</v>
      </c>
      <c r="E47" s="2" t="s">
        <v>158</v>
      </c>
      <c r="F47" s="2" t="s">
        <v>59</v>
      </c>
      <c r="G47" s="2">
        <f>91-44-28441111</f>
        <v>-28441064</v>
      </c>
      <c r="H47" s="3" t="s">
        <v>278</v>
      </c>
      <c r="I47" s="3" t="s">
        <v>279</v>
      </c>
      <c r="J47" s="2" t="s">
        <v>280</v>
      </c>
      <c r="K47" s="2"/>
      <c r="L47" s="2" t="s">
        <v>260</v>
      </c>
      <c r="M47" s="2" t="s">
        <v>281</v>
      </c>
      <c r="N47" s="2"/>
      <c r="O47" s="2"/>
      <c r="P47" s="2" t="s">
        <v>31</v>
      </c>
      <c r="Q47" s="4">
        <v>45971</v>
      </c>
      <c r="R47" s="2" t="s">
        <v>282</v>
      </c>
      <c r="S47" s="2">
        <v>1</v>
      </c>
      <c r="T47" s="2" t="s">
        <v>231</v>
      </c>
      <c r="U47" s="2" t="s">
        <v>34</v>
      </c>
    </row>
    <row r="48" spans="1:21" ht="90" x14ac:dyDescent="0.25">
      <c r="A48" s="2">
        <v>4</v>
      </c>
      <c r="B48" s="2" t="s">
        <v>283</v>
      </c>
      <c r="C48" s="2" t="s">
        <v>56</v>
      </c>
      <c r="D48" s="2" t="s">
        <v>284</v>
      </c>
      <c r="E48" s="2" t="s">
        <v>24</v>
      </c>
      <c r="F48" s="2" t="s">
        <v>59</v>
      </c>
      <c r="G48" s="2">
        <f>91-11-41644900</f>
        <v>-41644820</v>
      </c>
      <c r="H48" s="3" t="s">
        <v>285</v>
      </c>
      <c r="I48" s="3" t="s">
        <v>286</v>
      </c>
      <c r="J48" s="2" t="s">
        <v>287</v>
      </c>
      <c r="K48" s="2"/>
      <c r="L48" s="2" t="s">
        <v>265</v>
      </c>
      <c r="M48" s="2" t="s">
        <v>288</v>
      </c>
      <c r="N48" s="2"/>
      <c r="O48" s="2" t="s">
        <v>289</v>
      </c>
      <c r="P48" s="2" t="s">
        <v>31</v>
      </c>
      <c r="Q48" s="4">
        <v>45976</v>
      </c>
      <c r="R48" s="2" t="s">
        <v>290</v>
      </c>
      <c r="S48" s="2">
        <v>1</v>
      </c>
      <c r="T48" s="2" t="s">
        <v>231</v>
      </c>
      <c r="U48" s="2" t="s">
        <v>34</v>
      </c>
    </row>
    <row r="49" spans="1:21" ht="90" x14ac:dyDescent="0.25">
      <c r="A49" s="2">
        <v>4</v>
      </c>
      <c r="B49" s="2" t="s">
        <v>291</v>
      </c>
      <c r="C49" s="2" t="s">
        <v>56</v>
      </c>
      <c r="D49" s="2" t="s">
        <v>36</v>
      </c>
      <c r="E49" s="2" t="s">
        <v>95</v>
      </c>
      <c r="F49" s="2" t="s">
        <v>59</v>
      </c>
      <c r="G49" s="2">
        <f>91-20-43000500</f>
        <v>-43000429</v>
      </c>
      <c r="H49" s="3" t="s">
        <v>292</v>
      </c>
      <c r="I49" s="3" t="s">
        <v>293</v>
      </c>
      <c r="J49" s="2" t="s">
        <v>294</v>
      </c>
      <c r="K49" s="2"/>
      <c r="L49" s="2" t="s">
        <v>260</v>
      </c>
      <c r="M49" s="2" t="s">
        <v>295</v>
      </c>
      <c r="N49" s="2"/>
      <c r="O49" s="2"/>
      <c r="P49" s="2" t="s">
        <v>31</v>
      </c>
      <c r="Q49" s="4">
        <v>45973</v>
      </c>
      <c r="R49" s="2" t="s">
        <v>296</v>
      </c>
      <c r="S49" s="2">
        <v>1</v>
      </c>
      <c r="T49" s="2" t="s">
        <v>231</v>
      </c>
      <c r="U49" s="2" t="s">
        <v>34</v>
      </c>
    </row>
    <row r="50" spans="1:21" ht="150" x14ac:dyDescent="0.25">
      <c r="A50" s="2">
        <v>4</v>
      </c>
      <c r="B50" s="2" t="s">
        <v>297</v>
      </c>
      <c r="C50" s="2" t="s">
        <v>56</v>
      </c>
      <c r="D50" s="2" t="s">
        <v>298</v>
      </c>
      <c r="E50" s="2" t="s">
        <v>299</v>
      </c>
      <c r="F50" s="2" t="s">
        <v>59</v>
      </c>
      <c r="G50" s="2">
        <f>91-80-26096800</f>
        <v>-26096789</v>
      </c>
      <c r="H50" s="3" t="s">
        <v>300</v>
      </c>
      <c r="I50" s="3" t="s">
        <v>301</v>
      </c>
      <c r="J50" s="2" t="s">
        <v>302</v>
      </c>
      <c r="K50" s="2"/>
      <c r="L50" s="2"/>
      <c r="M50" s="2"/>
      <c r="N50" s="2"/>
      <c r="O50" s="2"/>
      <c r="P50" s="2" t="s">
        <v>31</v>
      </c>
      <c r="Q50" s="4">
        <v>45971</v>
      </c>
      <c r="R50" s="2" t="s">
        <v>303</v>
      </c>
      <c r="S50" s="2">
        <v>1</v>
      </c>
      <c r="T50" s="2" t="s">
        <v>231</v>
      </c>
      <c r="U50" s="2" t="s">
        <v>34</v>
      </c>
    </row>
    <row r="51" spans="1:21" ht="105" x14ac:dyDescent="0.25">
      <c r="A51" s="2">
        <v>4</v>
      </c>
      <c r="B51" s="2" t="s">
        <v>304</v>
      </c>
      <c r="C51" s="2" t="s">
        <v>305</v>
      </c>
      <c r="D51" s="2" t="s">
        <v>306</v>
      </c>
      <c r="E51" s="2" t="s">
        <v>307</v>
      </c>
      <c r="F51" s="2" t="s">
        <v>308</v>
      </c>
      <c r="G51" s="2">
        <f>91-832-2223330</f>
        <v>-2224071</v>
      </c>
      <c r="H51" s="3" t="s">
        <v>309</v>
      </c>
      <c r="I51" s="3" t="s">
        <v>310</v>
      </c>
      <c r="J51" s="2" t="s">
        <v>311</v>
      </c>
      <c r="K51" s="2"/>
      <c r="L51" s="2" t="s">
        <v>312</v>
      </c>
      <c r="M51" s="2"/>
      <c r="N51" s="2"/>
      <c r="O51" s="2"/>
      <c r="P51" s="2" t="s">
        <v>31</v>
      </c>
      <c r="Q51" s="4">
        <v>45966</v>
      </c>
      <c r="R51" s="2" t="s">
        <v>313</v>
      </c>
      <c r="S51" s="2">
        <v>1</v>
      </c>
      <c r="T51" s="2" t="s">
        <v>231</v>
      </c>
      <c r="U51" s="2" t="s">
        <v>34</v>
      </c>
    </row>
    <row r="52" spans="1:21" ht="90" x14ac:dyDescent="0.25">
      <c r="A52" s="2">
        <v>4</v>
      </c>
      <c r="B52" s="2" t="s">
        <v>314</v>
      </c>
      <c r="C52" s="2" t="s">
        <v>315</v>
      </c>
      <c r="D52" s="2" t="s">
        <v>284</v>
      </c>
      <c r="E52" s="2" t="s">
        <v>24</v>
      </c>
      <c r="F52" s="2" t="s">
        <v>113</v>
      </c>
      <c r="G52" s="2">
        <f>91-11-41054444</f>
        <v>-41054364</v>
      </c>
      <c r="H52" s="3" t="s">
        <v>316</v>
      </c>
      <c r="I52" s="3" t="s">
        <v>317</v>
      </c>
      <c r="J52" s="2" t="s">
        <v>318</v>
      </c>
      <c r="K52" s="2"/>
      <c r="L52" s="2"/>
      <c r="M52" s="2" t="s">
        <v>273</v>
      </c>
      <c r="N52" s="2"/>
      <c r="O52" s="2"/>
      <c r="P52" s="2" t="s">
        <v>31</v>
      </c>
      <c r="Q52" s="4">
        <v>45973</v>
      </c>
      <c r="R52" s="2" t="s">
        <v>319</v>
      </c>
      <c r="S52" s="2">
        <v>1</v>
      </c>
      <c r="T52" s="2" t="s">
        <v>231</v>
      </c>
      <c r="U52" s="2" t="s">
        <v>34</v>
      </c>
    </row>
    <row r="53" spans="1:21" ht="90" x14ac:dyDescent="0.25">
      <c r="A53" s="2">
        <v>4</v>
      </c>
      <c r="B53" s="2" t="s">
        <v>320</v>
      </c>
      <c r="C53" s="2" t="s">
        <v>119</v>
      </c>
      <c r="D53" s="2" t="s">
        <v>321</v>
      </c>
      <c r="E53" s="2" t="s">
        <v>322</v>
      </c>
      <c r="F53" s="2" t="s">
        <v>49</v>
      </c>
      <c r="G53" s="2">
        <f>91-184-2259008</f>
        <v>-2259101</v>
      </c>
      <c r="H53" s="3" t="s">
        <v>323</v>
      </c>
      <c r="I53" s="3" t="s">
        <v>324</v>
      </c>
      <c r="J53" s="2" t="s">
        <v>325</v>
      </c>
      <c r="K53" s="2"/>
      <c r="L53" s="2"/>
      <c r="M53" s="2"/>
      <c r="N53" s="2"/>
      <c r="O53" s="2" t="s">
        <v>326</v>
      </c>
      <c r="P53" s="2" t="s">
        <v>31</v>
      </c>
      <c r="Q53" s="4">
        <v>45979</v>
      </c>
      <c r="R53" s="2" t="s">
        <v>327</v>
      </c>
      <c r="S53" s="2">
        <v>1</v>
      </c>
      <c r="T53" s="2" t="s">
        <v>231</v>
      </c>
      <c r="U53" s="2" t="s">
        <v>34</v>
      </c>
    </row>
    <row r="54" spans="1:21" ht="90" x14ac:dyDescent="0.25">
      <c r="A54" s="2">
        <v>4</v>
      </c>
      <c r="B54" s="2" t="s">
        <v>328</v>
      </c>
      <c r="C54" s="2" t="s">
        <v>329</v>
      </c>
      <c r="D54" s="2" t="s">
        <v>126</v>
      </c>
      <c r="E54" s="2" t="s">
        <v>127</v>
      </c>
      <c r="F54" s="2" t="s">
        <v>49</v>
      </c>
      <c r="G54" s="2">
        <f>91-484-2331446</f>
        <v>-2331839</v>
      </c>
      <c r="H54" s="3" t="s">
        <v>330</v>
      </c>
      <c r="I54" s="3" t="s">
        <v>51</v>
      </c>
      <c r="J54" s="2" t="s">
        <v>165</v>
      </c>
      <c r="K54" s="2"/>
      <c r="L54" s="2"/>
      <c r="M54" s="2"/>
      <c r="N54" s="2"/>
      <c r="O54" s="2" t="s">
        <v>331</v>
      </c>
      <c r="P54" s="2" t="s">
        <v>31</v>
      </c>
      <c r="Q54" s="4">
        <v>45976</v>
      </c>
      <c r="R54" s="2" t="s">
        <v>332</v>
      </c>
      <c r="S54" s="2">
        <v>1</v>
      </c>
      <c r="T54" s="2" t="s">
        <v>231</v>
      </c>
      <c r="U54" s="2" t="s">
        <v>34</v>
      </c>
    </row>
    <row r="55" spans="1:21" ht="45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  <c r="O55" s="1" t="s">
        <v>14</v>
      </c>
      <c r="P55" s="1" t="s">
        <v>15</v>
      </c>
      <c r="Q55" s="1" t="s">
        <v>16</v>
      </c>
      <c r="R55" s="1" t="s">
        <v>17</v>
      </c>
      <c r="S55" s="1" t="s">
        <v>18</v>
      </c>
      <c r="T55" s="1" t="s">
        <v>19</v>
      </c>
      <c r="U55" s="1" t="s">
        <v>20</v>
      </c>
    </row>
    <row r="56" spans="1:21" ht="195" x14ac:dyDescent="0.25">
      <c r="A56" s="2">
        <v>5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>
        <f>91-11-26514044</f>
        <v>-26513964</v>
      </c>
      <c r="H56" s="3" t="s">
        <v>26</v>
      </c>
      <c r="I56" s="3" t="s">
        <v>27</v>
      </c>
      <c r="J56" s="2" t="s">
        <v>28</v>
      </c>
      <c r="K56" s="2"/>
      <c r="L56" s="2"/>
      <c r="M56" s="2" t="s">
        <v>333</v>
      </c>
      <c r="N56" s="2"/>
      <c r="O56" s="2" t="s">
        <v>334</v>
      </c>
      <c r="P56" s="2" t="s">
        <v>31</v>
      </c>
      <c r="Q56" s="4">
        <v>45976</v>
      </c>
      <c r="R56" s="2" t="s">
        <v>335</v>
      </c>
      <c r="S56" s="2">
        <v>1</v>
      </c>
      <c r="T56" s="2" t="s">
        <v>336</v>
      </c>
      <c r="U56" s="2" t="s">
        <v>34</v>
      </c>
    </row>
    <row r="57" spans="1:21" ht="120" x14ac:dyDescent="0.25">
      <c r="A57" s="2">
        <v>5</v>
      </c>
      <c r="B57" s="2" t="s">
        <v>48</v>
      </c>
      <c r="C57" s="2" t="s">
        <v>22</v>
      </c>
      <c r="D57" s="2" t="s">
        <v>23</v>
      </c>
      <c r="E57" s="2" t="s">
        <v>24</v>
      </c>
      <c r="F57" s="2" t="s">
        <v>49</v>
      </c>
      <c r="G57" s="2">
        <f>91-11-23341252</f>
        <v>-23341172</v>
      </c>
      <c r="H57" s="3" t="s">
        <v>50</v>
      </c>
      <c r="I57" s="3" t="s">
        <v>51</v>
      </c>
      <c r="J57" s="2" t="s">
        <v>337</v>
      </c>
      <c r="K57" s="2"/>
      <c r="L57" s="2"/>
      <c r="M57" s="2"/>
      <c r="N57" s="2"/>
      <c r="O57" s="2" t="s">
        <v>338</v>
      </c>
      <c r="P57" s="2" t="s">
        <v>31</v>
      </c>
      <c r="Q57" s="4">
        <v>45979</v>
      </c>
      <c r="R57" s="2" t="s">
        <v>339</v>
      </c>
      <c r="S57" s="2">
        <v>1</v>
      </c>
      <c r="T57" s="2" t="s">
        <v>336</v>
      </c>
      <c r="U57" s="2" t="s">
        <v>34</v>
      </c>
    </row>
    <row r="58" spans="1:21" ht="105" x14ac:dyDescent="0.25">
      <c r="A58" s="2">
        <v>5</v>
      </c>
      <c r="B58" s="2" t="s">
        <v>340</v>
      </c>
      <c r="C58" s="2" t="s">
        <v>56</v>
      </c>
      <c r="D58" s="2" t="s">
        <v>126</v>
      </c>
      <c r="E58" s="2" t="s">
        <v>127</v>
      </c>
      <c r="F58" s="2" t="s">
        <v>59</v>
      </c>
      <c r="G58" s="2">
        <f>91-484-2860300</f>
        <v>-2860693</v>
      </c>
      <c r="H58" s="3" t="s">
        <v>341</v>
      </c>
      <c r="I58" s="3" t="s">
        <v>342</v>
      </c>
      <c r="J58" s="2" t="s">
        <v>343</v>
      </c>
      <c r="K58" s="2"/>
      <c r="L58" s="2" t="s">
        <v>244</v>
      </c>
      <c r="M58" s="2" t="s">
        <v>344</v>
      </c>
      <c r="N58" s="2"/>
      <c r="O58" s="2" t="s">
        <v>345</v>
      </c>
      <c r="P58" s="2" t="s">
        <v>31</v>
      </c>
      <c r="Q58" s="4">
        <v>45973</v>
      </c>
      <c r="R58" s="2" t="s">
        <v>346</v>
      </c>
      <c r="S58" s="2">
        <v>1</v>
      </c>
      <c r="T58" s="2" t="s">
        <v>336</v>
      </c>
      <c r="U58" s="2" t="s">
        <v>34</v>
      </c>
    </row>
    <row r="59" spans="1:21" ht="90" x14ac:dyDescent="0.25">
      <c r="A59" s="2">
        <v>5</v>
      </c>
      <c r="B59" s="2" t="s">
        <v>347</v>
      </c>
      <c r="C59" s="2" t="s">
        <v>56</v>
      </c>
      <c r="D59" s="2" t="s">
        <v>153</v>
      </c>
      <c r="E59" s="2" t="s">
        <v>348</v>
      </c>
      <c r="F59" s="2" t="s">
        <v>59</v>
      </c>
      <c r="G59" s="2">
        <f>91-265-3047000</f>
        <v>-3047174</v>
      </c>
      <c r="H59" s="3" t="s">
        <v>349</v>
      </c>
      <c r="I59" s="2"/>
      <c r="J59" s="2" t="s">
        <v>350</v>
      </c>
      <c r="K59" s="2"/>
      <c r="L59" s="2"/>
      <c r="M59" s="2" t="s">
        <v>351</v>
      </c>
      <c r="N59" s="2"/>
      <c r="O59" s="2" t="s">
        <v>352</v>
      </c>
      <c r="P59" s="2" t="s">
        <v>31</v>
      </c>
      <c r="Q59" s="4">
        <v>45971</v>
      </c>
      <c r="R59" s="2" t="s">
        <v>353</v>
      </c>
      <c r="S59" s="2">
        <v>1</v>
      </c>
      <c r="T59" s="2" t="s">
        <v>336</v>
      </c>
      <c r="U59" s="2" t="s">
        <v>34</v>
      </c>
    </row>
    <row r="60" spans="1:21" ht="75" x14ac:dyDescent="0.25">
      <c r="A60" s="2">
        <v>5</v>
      </c>
      <c r="B60" s="2" t="s">
        <v>354</v>
      </c>
      <c r="C60" s="2" t="s">
        <v>56</v>
      </c>
      <c r="D60" s="2" t="s">
        <v>153</v>
      </c>
      <c r="E60" s="2" t="s">
        <v>355</v>
      </c>
      <c r="F60" s="2" t="s">
        <v>59</v>
      </c>
      <c r="G60" s="2">
        <f>91-79-26469962</f>
        <v>-26469950</v>
      </c>
      <c r="H60" s="3" t="s">
        <v>356</v>
      </c>
      <c r="I60" s="3" t="s">
        <v>357</v>
      </c>
      <c r="J60" s="2" t="s">
        <v>358</v>
      </c>
      <c r="K60" s="2"/>
      <c r="L60" s="2" t="s">
        <v>273</v>
      </c>
      <c r="M60" s="2" t="s">
        <v>359</v>
      </c>
      <c r="N60" s="2"/>
      <c r="O60" s="2"/>
      <c r="P60" s="2" t="s">
        <v>31</v>
      </c>
      <c r="Q60" s="4">
        <v>45976</v>
      </c>
      <c r="R60" s="2" t="s">
        <v>360</v>
      </c>
      <c r="S60" s="2">
        <v>1</v>
      </c>
      <c r="T60" s="2" t="s">
        <v>336</v>
      </c>
      <c r="U60" s="2" t="s">
        <v>34</v>
      </c>
    </row>
    <row r="61" spans="1:21" ht="90" x14ac:dyDescent="0.25">
      <c r="A61" s="2">
        <v>5</v>
      </c>
      <c r="B61" s="2" t="s">
        <v>361</v>
      </c>
      <c r="C61" s="2" t="s">
        <v>56</v>
      </c>
      <c r="D61" s="2" t="s">
        <v>153</v>
      </c>
      <c r="E61" s="2" t="s">
        <v>355</v>
      </c>
      <c r="F61" s="2" t="s">
        <v>362</v>
      </c>
      <c r="G61" s="2">
        <f>91-79-40020800</f>
        <v>-40020788</v>
      </c>
      <c r="H61" s="3" t="s">
        <v>363</v>
      </c>
      <c r="I61" s="3" t="s">
        <v>364</v>
      </c>
      <c r="J61" s="2" t="s">
        <v>365</v>
      </c>
      <c r="K61" s="2"/>
      <c r="L61" s="2"/>
      <c r="M61" s="2" t="s">
        <v>366</v>
      </c>
      <c r="N61" s="2"/>
      <c r="O61" s="2" t="s">
        <v>367</v>
      </c>
      <c r="P61" s="2" t="s">
        <v>31</v>
      </c>
      <c r="Q61" s="4">
        <v>45973</v>
      </c>
      <c r="R61" s="2" t="s">
        <v>368</v>
      </c>
      <c r="S61" s="2">
        <v>1</v>
      </c>
      <c r="T61" s="2" t="s">
        <v>336</v>
      </c>
      <c r="U61" s="2" t="s">
        <v>34</v>
      </c>
    </row>
    <row r="62" spans="1:21" ht="120" x14ac:dyDescent="0.25">
      <c r="A62" s="2">
        <v>5</v>
      </c>
      <c r="B62" s="2" t="s">
        <v>369</v>
      </c>
      <c r="C62" s="2" t="s">
        <v>56</v>
      </c>
      <c r="D62" s="2" t="s">
        <v>370</v>
      </c>
      <c r="E62" s="2" t="s">
        <v>371</v>
      </c>
      <c r="F62" s="2" t="s">
        <v>59</v>
      </c>
      <c r="G62" s="2">
        <f>91-761-2678627</f>
        <v>-2679297</v>
      </c>
      <c r="H62" s="3" t="s">
        <v>372</v>
      </c>
      <c r="I62" s="3" t="s">
        <v>373</v>
      </c>
      <c r="J62" s="2" t="s">
        <v>374</v>
      </c>
      <c r="K62" s="2"/>
      <c r="L62" s="2" t="s">
        <v>260</v>
      </c>
      <c r="M62" s="2" t="s">
        <v>375</v>
      </c>
      <c r="N62" s="2"/>
      <c r="O62" s="2"/>
      <c r="P62" s="2" t="s">
        <v>31</v>
      </c>
      <c r="Q62" s="4">
        <v>45971</v>
      </c>
      <c r="R62" s="2" t="s">
        <v>376</v>
      </c>
      <c r="S62" s="2">
        <v>1</v>
      </c>
      <c r="T62" s="2" t="s">
        <v>336</v>
      </c>
      <c r="U62" s="2" t="s">
        <v>34</v>
      </c>
    </row>
    <row r="63" spans="1:21" ht="75" x14ac:dyDescent="0.25">
      <c r="A63" s="2">
        <v>5</v>
      </c>
      <c r="B63" s="2" t="s">
        <v>377</v>
      </c>
      <c r="C63" s="2" t="s">
        <v>56</v>
      </c>
      <c r="D63" s="2" t="s">
        <v>57</v>
      </c>
      <c r="E63" s="2" t="s">
        <v>82</v>
      </c>
      <c r="F63" s="2" t="s">
        <v>49</v>
      </c>
      <c r="G63" s="2">
        <f>91-121-2510005</f>
        <v>-2510035</v>
      </c>
      <c r="H63" s="3" t="s">
        <v>378</v>
      </c>
      <c r="I63" s="3" t="s">
        <v>379</v>
      </c>
      <c r="J63" s="2" t="s">
        <v>380</v>
      </c>
      <c r="K63" s="2"/>
      <c r="L63" s="2" t="s">
        <v>265</v>
      </c>
      <c r="M63" s="2" t="s">
        <v>381</v>
      </c>
      <c r="N63" s="2"/>
      <c r="O63" s="2" t="s">
        <v>382</v>
      </c>
      <c r="P63" s="2" t="s">
        <v>31</v>
      </c>
      <c r="Q63" s="4">
        <v>45976</v>
      </c>
      <c r="R63" s="2" t="s">
        <v>383</v>
      </c>
      <c r="S63" s="2">
        <v>1</v>
      </c>
      <c r="T63" s="2" t="s">
        <v>336</v>
      </c>
      <c r="U63" s="2" t="s">
        <v>34</v>
      </c>
    </row>
    <row r="64" spans="1:21" ht="90" x14ac:dyDescent="0.25">
      <c r="A64" s="2">
        <v>5</v>
      </c>
      <c r="B64" s="2" t="s">
        <v>384</v>
      </c>
      <c r="C64" s="2" t="s">
        <v>56</v>
      </c>
      <c r="D64" s="2" t="s">
        <v>57</v>
      </c>
      <c r="E64" s="2" t="s">
        <v>72</v>
      </c>
      <c r="F64" s="2" t="s">
        <v>49</v>
      </c>
      <c r="G64" s="2">
        <f>91-571-2905000</f>
        <v>-2905480</v>
      </c>
      <c r="H64" s="3" t="s">
        <v>385</v>
      </c>
      <c r="I64" s="2"/>
      <c r="J64" s="2" t="s">
        <v>386</v>
      </c>
      <c r="K64" s="2"/>
      <c r="L64" s="2" t="s">
        <v>265</v>
      </c>
      <c r="M64" s="2" t="s">
        <v>387</v>
      </c>
      <c r="N64" s="2"/>
      <c r="O64" s="2" t="s">
        <v>388</v>
      </c>
      <c r="P64" s="2" t="s">
        <v>31</v>
      </c>
      <c r="Q64" s="4">
        <v>45973</v>
      </c>
      <c r="R64" s="2" t="s">
        <v>389</v>
      </c>
      <c r="S64" s="2">
        <v>1</v>
      </c>
      <c r="T64" s="2" t="s">
        <v>336</v>
      </c>
      <c r="U64" s="2" t="s">
        <v>34</v>
      </c>
    </row>
    <row r="65" spans="1:21" ht="105" x14ac:dyDescent="0.25">
      <c r="A65" s="2">
        <v>5</v>
      </c>
      <c r="B65" s="2" t="s">
        <v>390</v>
      </c>
      <c r="C65" s="2" t="s">
        <v>391</v>
      </c>
      <c r="D65" s="2" t="s">
        <v>147</v>
      </c>
      <c r="E65" s="2" t="s">
        <v>392</v>
      </c>
      <c r="F65" s="2" t="s">
        <v>113</v>
      </c>
      <c r="G65" s="2">
        <f>91-9733665544</f>
        <v>-9733665453</v>
      </c>
      <c r="H65" s="2"/>
      <c r="I65" s="2"/>
      <c r="J65" s="2" t="s">
        <v>393</v>
      </c>
      <c r="K65" s="2"/>
      <c r="L65" s="2" t="s">
        <v>394</v>
      </c>
      <c r="M65" s="2"/>
      <c r="N65" s="2"/>
      <c r="O65" s="2"/>
      <c r="P65" s="2" t="s">
        <v>31</v>
      </c>
      <c r="Q65" s="4">
        <v>45950</v>
      </c>
      <c r="R65" s="2" t="s">
        <v>395</v>
      </c>
      <c r="S65" s="2">
        <v>1</v>
      </c>
      <c r="T65" s="2" t="s">
        <v>336</v>
      </c>
      <c r="U65" s="2" t="s">
        <v>34</v>
      </c>
    </row>
    <row r="66" spans="1:21" ht="90" x14ac:dyDescent="0.25">
      <c r="A66" s="2">
        <v>5</v>
      </c>
      <c r="B66" s="2" t="s">
        <v>396</v>
      </c>
      <c r="C66" s="2" t="s">
        <v>119</v>
      </c>
      <c r="D66" s="2" t="s">
        <v>397</v>
      </c>
      <c r="E66" s="2" t="s">
        <v>398</v>
      </c>
      <c r="F66" s="2" t="s">
        <v>49</v>
      </c>
      <c r="G66" s="2">
        <f>91-361-2847195</f>
        <v>-2847465</v>
      </c>
      <c r="H66" s="3" t="s">
        <v>399</v>
      </c>
      <c r="I66" s="3" t="s">
        <v>400</v>
      </c>
      <c r="J66" s="2" t="s">
        <v>401</v>
      </c>
      <c r="K66" s="2"/>
      <c r="L66" s="2"/>
      <c r="M66" s="2"/>
      <c r="N66" s="2"/>
      <c r="O66" s="2" t="s">
        <v>402</v>
      </c>
      <c r="P66" s="2" t="s">
        <v>31</v>
      </c>
      <c r="Q66" s="4">
        <v>45979</v>
      </c>
      <c r="R66" s="2" t="s">
        <v>403</v>
      </c>
      <c r="S66" s="2">
        <v>1</v>
      </c>
      <c r="T66" s="2" t="s">
        <v>336</v>
      </c>
      <c r="U66" s="2" t="s">
        <v>34</v>
      </c>
    </row>
    <row r="67" spans="1:21" ht="75" x14ac:dyDescent="0.25">
      <c r="A67" s="2">
        <v>5</v>
      </c>
      <c r="B67" s="2" t="s">
        <v>328</v>
      </c>
      <c r="C67" s="2" t="s">
        <v>329</v>
      </c>
      <c r="D67" s="2" t="s">
        <v>126</v>
      </c>
      <c r="E67" s="2" t="s">
        <v>127</v>
      </c>
      <c r="F67" s="2" t="s">
        <v>49</v>
      </c>
      <c r="G67" s="2">
        <f>91-484-2331446</f>
        <v>-2331839</v>
      </c>
      <c r="H67" s="3" t="s">
        <v>330</v>
      </c>
      <c r="I67" s="3" t="s">
        <v>51</v>
      </c>
      <c r="J67" s="2" t="s">
        <v>165</v>
      </c>
      <c r="K67" s="2"/>
      <c r="L67" s="2"/>
      <c r="M67" s="2"/>
      <c r="N67" s="2"/>
      <c r="O67" s="2" t="s">
        <v>404</v>
      </c>
      <c r="P67" s="2" t="s">
        <v>31</v>
      </c>
      <c r="Q67" s="4">
        <v>45976</v>
      </c>
      <c r="R67" s="2" t="s">
        <v>405</v>
      </c>
      <c r="S67" s="2">
        <v>1</v>
      </c>
      <c r="T67" s="2" t="s">
        <v>336</v>
      </c>
      <c r="U67" s="2" t="s">
        <v>34</v>
      </c>
    </row>
    <row r="68" spans="1:21" ht="45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  <c r="N68" s="1" t="s">
        <v>13</v>
      </c>
      <c r="O68" s="1" t="s">
        <v>14</v>
      </c>
      <c r="P68" s="1" t="s">
        <v>15</v>
      </c>
      <c r="Q68" s="1" t="s">
        <v>16</v>
      </c>
      <c r="R68" s="1" t="s">
        <v>17</v>
      </c>
      <c r="S68" s="1" t="s">
        <v>18</v>
      </c>
      <c r="T68" s="1" t="s">
        <v>19</v>
      </c>
      <c r="U68" s="1" t="s">
        <v>20</v>
      </c>
    </row>
    <row r="69" spans="1:21" ht="180" x14ac:dyDescent="0.25">
      <c r="A69" s="2">
        <v>6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>
        <f>91-11-26514044</f>
        <v>-26513964</v>
      </c>
      <c r="H69" s="3" t="s">
        <v>26</v>
      </c>
      <c r="I69" s="3" t="s">
        <v>27</v>
      </c>
      <c r="J69" s="2" t="s">
        <v>406</v>
      </c>
      <c r="K69" s="2"/>
      <c r="L69" s="2"/>
      <c r="M69" s="2" t="s">
        <v>333</v>
      </c>
      <c r="N69" s="2"/>
      <c r="O69" s="2"/>
      <c r="P69" s="2" t="s">
        <v>31</v>
      </c>
      <c r="Q69" s="4">
        <v>45976</v>
      </c>
      <c r="R69" s="2" t="s">
        <v>407</v>
      </c>
      <c r="S69" s="2">
        <v>1</v>
      </c>
      <c r="T69" s="2" t="s">
        <v>408</v>
      </c>
      <c r="U69" s="2" t="s">
        <v>34</v>
      </c>
    </row>
    <row r="70" spans="1:21" ht="135" x14ac:dyDescent="0.25">
      <c r="A70" s="2">
        <v>6</v>
      </c>
      <c r="B70" s="2" t="s">
        <v>409</v>
      </c>
      <c r="C70" s="2" t="s">
        <v>233</v>
      </c>
      <c r="D70" s="2" t="s">
        <v>321</v>
      </c>
      <c r="E70" s="2" t="s">
        <v>410</v>
      </c>
      <c r="F70" s="2" t="s">
        <v>411</v>
      </c>
      <c r="G70" s="2">
        <f>91-129-2410051</f>
        <v>-2410089</v>
      </c>
      <c r="H70" s="3" t="s">
        <v>412</v>
      </c>
      <c r="I70" s="3" t="s">
        <v>413</v>
      </c>
      <c r="J70" s="2" t="s">
        <v>414</v>
      </c>
      <c r="K70" s="2"/>
      <c r="L70" s="2"/>
      <c r="M70" s="2"/>
      <c r="N70" s="2"/>
      <c r="O70" s="2" t="s">
        <v>415</v>
      </c>
      <c r="P70" s="2" t="s">
        <v>31</v>
      </c>
      <c r="Q70" s="4">
        <v>45979</v>
      </c>
      <c r="R70" s="2" t="s">
        <v>416</v>
      </c>
      <c r="S70" s="2">
        <v>1</v>
      </c>
      <c r="T70" s="2" t="s">
        <v>408</v>
      </c>
      <c r="U70" s="2" t="s">
        <v>34</v>
      </c>
    </row>
    <row r="71" spans="1:21" ht="105" x14ac:dyDescent="0.25">
      <c r="A71" s="2">
        <v>6</v>
      </c>
      <c r="B71" s="2" t="s">
        <v>417</v>
      </c>
      <c r="C71" s="2" t="s">
        <v>315</v>
      </c>
      <c r="D71" s="2" t="s">
        <v>298</v>
      </c>
      <c r="E71" s="2" t="s">
        <v>418</v>
      </c>
      <c r="F71" s="2" t="s">
        <v>59</v>
      </c>
      <c r="G71" s="2">
        <f>91-80-25296800</f>
        <v>-25296789</v>
      </c>
      <c r="H71" s="3" t="s">
        <v>419</v>
      </c>
      <c r="I71" s="3" t="s">
        <v>420</v>
      </c>
      <c r="J71" s="2" t="s">
        <v>421</v>
      </c>
      <c r="K71" s="2"/>
      <c r="L71" s="2" t="s">
        <v>422</v>
      </c>
      <c r="M71" s="2" t="s">
        <v>423</v>
      </c>
      <c r="N71" s="2"/>
      <c r="O71" s="2"/>
      <c r="P71" s="2" t="s">
        <v>31</v>
      </c>
      <c r="Q71" s="4">
        <v>45971</v>
      </c>
      <c r="R71" s="2" t="s">
        <v>424</v>
      </c>
      <c r="S71" s="2">
        <v>1</v>
      </c>
      <c r="T71" s="2" t="s">
        <v>408</v>
      </c>
      <c r="U71" s="2" t="s">
        <v>34</v>
      </c>
    </row>
    <row r="72" spans="1:21" ht="120" x14ac:dyDescent="0.25">
      <c r="A72" s="2">
        <v>6</v>
      </c>
      <c r="B72" s="2" t="s">
        <v>425</v>
      </c>
      <c r="C72" s="2" t="s">
        <v>426</v>
      </c>
      <c r="D72" s="2" t="s">
        <v>102</v>
      </c>
      <c r="E72" s="2" t="s">
        <v>427</v>
      </c>
      <c r="F72" s="2" t="s">
        <v>428</v>
      </c>
      <c r="G72" s="2">
        <f>91-4344-242567</f>
        <v>-246820</v>
      </c>
      <c r="H72" s="3" t="s">
        <v>429</v>
      </c>
      <c r="I72" s="2"/>
      <c r="J72" s="2" t="s">
        <v>430</v>
      </c>
      <c r="K72" s="2"/>
      <c r="L72" s="2" t="s">
        <v>431</v>
      </c>
      <c r="M72" s="2" t="s">
        <v>432</v>
      </c>
      <c r="N72" s="2"/>
      <c r="O72" s="2"/>
      <c r="P72" s="2" t="s">
        <v>31</v>
      </c>
      <c r="Q72" s="4">
        <v>45973</v>
      </c>
      <c r="R72" s="2" t="s">
        <v>433</v>
      </c>
      <c r="S72" s="2">
        <v>1</v>
      </c>
      <c r="T72" s="2" t="s">
        <v>408</v>
      </c>
      <c r="U72" s="2" t="s">
        <v>34</v>
      </c>
    </row>
    <row r="73" spans="1:21" ht="75" x14ac:dyDescent="0.25">
      <c r="A73" s="2">
        <v>6</v>
      </c>
      <c r="B73" s="2" t="s">
        <v>434</v>
      </c>
      <c r="C73" s="2" t="s">
        <v>315</v>
      </c>
      <c r="D73" s="2" t="s">
        <v>36</v>
      </c>
      <c r="E73" s="2" t="s">
        <v>95</v>
      </c>
      <c r="F73" s="2" t="s">
        <v>49</v>
      </c>
      <c r="G73" s="2">
        <f>91-20-26934567</f>
        <v>-26934496</v>
      </c>
      <c r="H73" s="3" t="s">
        <v>435</v>
      </c>
      <c r="I73" s="2"/>
      <c r="J73" s="2" t="s">
        <v>436</v>
      </c>
      <c r="K73" s="2"/>
      <c r="L73" s="2" t="s">
        <v>437</v>
      </c>
      <c r="M73" s="2" t="s">
        <v>359</v>
      </c>
      <c r="N73" s="2"/>
      <c r="O73" s="2"/>
      <c r="P73" s="2" t="s">
        <v>31</v>
      </c>
      <c r="Q73" s="4">
        <v>45976</v>
      </c>
      <c r="R73" s="2" t="s">
        <v>438</v>
      </c>
      <c r="S73" s="2">
        <v>1</v>
      </c>
      <c r="T73" s="2" t="s">
        <v>408</v>
      </c>
      <c r="U73" s="2" t="s">
        <v>34</v>
      </c>
    </row>
    <row r="74" spans="1:21" ht="45" x14ac:dyDescent="0.25">
      <c r="A74" s="2">
        <v>6</v>
      </c>
      <c r="B74" s="2" t="s">
        <v>439</v>
      </c>
      <c r="C74" s="2" t="s">
        <v>315</v>
      </c>
      <c r="D74" s="2" t="s">
        <v>298</v>
      </c>
      <c r="E74" s="2" t="s">
        <v>418</v>
      </c>
      <c r="F74" s="2" t="s">
        <v>308</v>
      </c>
      <c r="G74" s="2">
        <f>91-80-28467890</f>
        <v>-28467879</v>
      </c>
      <c r="H74" s="2"/>
      <c r="I74" s="2"/>
      <c r="J74" s="2" t="s">
        <v>440</v>
      </c>
      <c r="K74" s="2"/>
      <c r="L74" s="2"/>
      <c r="M74" s="2" t="s">
        <v>366</v>
      </c>
      <c r="N74" s="2"/>
      <c r="O74" s="2"/>
      <c r="P74" s="2" t="s">
        <v>31</v>
      </c>
      <c r="Q74" s="4">
        <v>45971</v>
      </c>
      <c r="R74" s="2" t="s">
        <v>441</v>
      </c>
      <c r="S74" s="2">
        <v>1</v>
      </c>
      <c r="T74" s="2" t="s">
        <v>408</v>
      </c>
      <c r="U74" s="2" t="s">
        <v>34</v>
      </c>
    </row>
    <row r="75" spans="1:21" ht="105" x14ac:dyDescent="0.25">
      <c r="A75" s="2">
        <v>6</v>
      </c>
      <c r="B75" s="2" t="s">
        <v>442</v>
      </c>
      <c r="C75" s="2" t="s">
        <v>56</v>
      </c>
      <c r="D75" s="2" t="s">
        <v>298</v>
      </c>
      <c r="E75" s="2" t="s">
        <v>299</v>
      </c>
      <c r="F75" s="2" t="s">
        <v>113</v>
      </c>
      <c r="G75" s="2">
        <f>91-80-27845678</f>
        <v>-27845667</v>
      </c>
      <c r="H75" s="3" t="s">
        <v>443</v>
      </c>
      <c r="I75" s="2"/>
      <c r="J75" s="2" t="s">
        <v>444</v>
      </c>
      <c r="K75" s="2"/>
      <c r="L75" s="2" t="s">
        <v>445</v>
      </c>
      <c r="M75" s="2"/>
      <c r="N75" s="2"/>
      <c r="O75" s="2" t="s">
        <v>446</v>
      </c>
      <c r="P75" s="2" t="s">
        <v>31</v>
      </c>
      <c r="Q75" s="4">
        <v>45979</v>
      </c>
      <c r="R75" s="2" t="s">
        <v>447</v>
      </c>
      <c r="S75" s="2">
        <v>1</v>
      </c>
      <c r="T75" s="2" t="s">
        <v>408</v>
      </c>
      <c r="U75" s="2" t="s">
        <v>34</v>
      </c>
    </row>
    <row r="76" spans="1:21" ht="120" x14ac:dyDescent="0.25">
      <c r="A76" s="2">
        <v>6</v>
      </c>
      <c r="B76" s="2" t="s">
        <v>448</v>
      </c>
      <c r="C76" s="2" t="s">
        <v>315</v>
      </c>
      <c r="D76" s="2" t="s">
        <v>298</v>
      </c>
      <c r="E76" s="2" t="s">
        <v>299</v>
      </c>
      <c r="F76" s="2" t="s">
        <v>449</v>
      </c>
      <c r="G76" s="2">
        <f>91-80-22178300</f>
        <v>-22178289</v>
      </c>
      <c r="H76" s="3" t="s">
        <v>450</v>
      </c>
      <c r="I76" s="3" t="s">
        <v>451</v>
      </c>
      <c r="J76" s="2" t="s">
        <v>452</v>
      </c>
      <c r="K76" s="2"/>
      <c r="L76" s="2" t="s">
        <v>453</v>
      </c>
      <c r="M76" s="2"/>
      <c r="N76" s="2"/>
      <c r="O76" s="2" t="s">
        <v>454</v>
      </c>
      <c r="P76" s="2" t="s">
        <v>31</v>
      </c>
      <c r="Q76" s="4">
        <v>45973</v>
      </c>
      <c r="R76" s="2" t="s">
        <v>455</v>
      </c>
      <c r="S76" s="2">
        <v>1</v>
      </c>
      <c r="T76" s="2" t="s">
        <v>408</v>
      </c>
      <c r="U76" s="2" t="s">
        <v>34</v>
      </c>
    </row>
    <row r="77" spans="1:21" ht="90" x14ac:dyDescent="0.25">
      <c r="A77" s="2">
        <v>6</v>
      </c>
      <c r="B77" s="2" t="s">
        <v>456</v>
      </c>
      <c r="C77" s="2" t="s">
        <v>315</v>
      </c>
      <c r="D77" s="2" t="s">
        <v>298</v>
      </c>
      <c r="E77" s="2" t="s">
        <v>457</v>
      </c>
      <c r="F77" s="2" t="s">
        <v>49</v>
      </c>
      <c r="G77" s="2">
        <f>91-821-2403666</f>
        <v>-2404396</v>
      </c>
      <c r="H77" s="3" t="s">
        <v>458</v>
      </c>
      <c r="I77" s="3" t="s">
        <v>459</v>
      </c>
      <c r="J77" s="2" t="s">
        <v>460</v>
      </c>
      <c r="K77" s="2"/>
      <c r="L77" s="2" t="s">
        <v>445</v>
      </c>
      <c r="M77" s="2"/>
      <c r="N77" s="2"/>
      <c r="O77" s="2" t="s">
        <v>461</v>
      </c>
      <c r="P77" s="2" t="s">
        <v>31</v>
      </c>
      <c r="Q77" s="4">
        <v>45976</v>
      </c>
      <c r="R77" s="2" t="s">
        <v>462</v>
      </c>
      <c r="S77" s="2">
        <v>1</v>
      </c>
      <c r="T77" s="2" t="s">
        <v>408</v>
      </c>
      <c r="U77" s="2" t="s">
        <v>34</v>
      </c>
    </row>
    <row r="78" spans="1:21" ht="105" x14ac:dyDescent="0.25">
      <c r="A78" s="2">
        <v>6</v>
      </c>
      <c r="B78" s="2" t="s">
        <v>463</v>
      </c>
      <c r="C78" s="2" t="s">
        <v>119</v>
      </c>
      <c r="D78" s="2" t="s">
        <v>464</v>
      </c>
      <c r="E78" s="2" t="s">
        <v>465</v>
      </c>
      <c r="F78" s="2" t="s">
        <v>49</v>
      </c>
      <c r="G78" s="2">
        <f>91-3592-257954</f>
        <v>-261455</v>
      </c>
      <c r="H78" s="3" t="s">
        <v>466</v>
      </c>
      <c r="I78" s="3" t="s">
        <v>467</v>
      </c>
      <c r="J78" s="2" t="s">
        <v>468</v>
      </c>
      <c r="K78" s="2"/>
      <c r="L78" s="2"/>
      <c r="M78" s="2"/>
      <c r="N78" s="2"/>
      <c r="O78" s="2"/>
      <c r="P78" s="2" t="s">
        <v>31</v>
      </c>
      <c r="Q78" s="4">
        <v>45979</v>
      </c>
      <c r="R78" s="2" t="s">
        <v>469</v>
      </c>
      <c r="S78" s="2">
        <v>1</v>
      </c>
      <c r="T78" s="2" t="s">
        <v>408</v>
      </c>
      <c r="U78" s="2" t="s">
        <v>34</v>
      </c>
    </row>
    <row r="79" spans="1:21" ht="120" x14ac:dyDescent="0.25">
      <c r="A79" s="2">
        <v>6</v>
      </c>
      <c r="B79" s="2" t="s">
        <v>470</v>
      </c>
      <c r="C79" s="2" t="s">
        <v>119</v>
      </c>
      <c r="D79" s="2" t="s">
        <v>298</v>
      </c>
      <c r="E79" s="2" t="s">
        <v>299</v>
      </c>
      <c r="F79" s="2" t="s">
        <v>49</v>
      </c>
      <c r="G79" s="2">
        <f>91-80-23086100</f>
        <v>-23086089</v>
      </c>
      <c r="H79" s="3" t="s">
        <v>471</v>
      </c>
      <c r="I79" s="3" t="s">
        <v>472</v>
      </c>
      <c r="J79" s="2" t="s">
        <v>473</v>
      </c>
      <c r="K79" s="2"/>
      <c r="L79" s="2"/>
      <c r="M79" s="2"/>
      <c r="N79" s="2"/>
      <c r="O79" s="2"/>
      <c r="P79" s="2" t="s">
        <v>31</v>
      </c>
      <c r="Q79" s="4">
        <v>45979</v>
      </c>
      <c r="R79" s="2" t="s">
        <v>474</v>
      </c>
      <c r="S79" s="2">
        <v>1</v>
      </c>
      <c r="T79" s="2" t="s">
        <v>408</v>
      </c>
      <c r="U79" s="2" t="s">
        <v>34</v>
      </c>
    </row>
    <row r="80" spans="1:21" ht="105" x14ac:dyDescent="0.25">
      <c r="A80" s="2">
        <v>6</v>
      </c>
      <c r="B80" s="2" t="s">
        <v>475</v>
      </c>
      <c r="C80" s="2" t="s">
        <v>22</v>
      </c>
      <c r="D80" s="2" t="s">
        <v>102</v>
      </c>
      <c r="E80" s="2" t="s">
        <v>103</v>
      </c>
      <c r="F80" s="2" t="s">
        <v>476</v>
      </c>
      <c r="G80" s="2">
        <f>91-422-2567890</f>
        <v>-2568221</v>
      </c>
      <c r="H80" s="2"/>
      <c r="I80" s="2"/>
      <c r="J80" s="2" t="s">
        <v>477</v>
      </c>
      <c r="K80" s="2"/>
      <c r="L80" s="2"/>
      <c r="M80" s="2"/>
      <c r="N80" s="2"/>
      <c r="O80" s="2"/>
      <c r="P80" s="2" t="s">
        <v>31</v>
      </c>
      <c r="Q80" s="4">
        <v>45971</v>
      </c>
      <c r="R80" s="2" t="s">
        <v>478</v>
      </c>
      <c r="S80" s="2">
        <v>1</v>
      </c>
      <c r="T80" s="2" t="s">
        <v>408</v>
      </c>
      <c r="U80" s="2" t="s">
        <v>34</v>
      </c>
    </row>
    <row r="81" spans="1:21" ht="45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1" t="s">
        <v>19</v>
      </c>
      <c r="U81" s="1" t="s">
        <v>20</v>
      </c>
    </row>
    <row r="82" spans="1:21" ht="180" x14ac:dyDescent="0.25">
      <c r="A82" s="2">
        <v>7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>
        <f>91-11-26514044</f>
        <v>-26513964</v>
      </c>
      <c r="H82" s="3" t="s">
        <v>26</v>
      </c>
      <c r="I82" s="3" t="s">
        <v>27</v>
      </c>
      <c r="J82" s="2" t="s">
        <v>479</v>
      </c>
      <c r="K82" s="2"/>
      <c r="L82" s="2"/>
      <c r="M82" s="2" t="s">
        <v>480</v>
      </c>
      <c r="N82" s="2"/>
      <c r="O82" s="2"/>
      <c r="P82" s="2" t="s">
        <v>31</v>
      </c>
      <c r="Q82" s="4">
        <v>45976</v>
      </c>
      <c r="R82" s="2" t="s">
        <v>481</v>
      </c>
      <c r="S82" s="2">
        <v>1.1000000000000001</v>
      </c>
      <c r="T82" s="2" t="s">
        <v>482</v>
      </c>
      <c r="U82" s="2" t="s">
        <v>34</v>
      </c>
    </row>
    <row r="83" spans="1:21" ht="105" x14ac:dyDescent="0.25">
      <c r="A83" s="2">
        <v>7</v>
      </c>
      <c r="B83" s="2" t="s">
        <v>483</v>
      </c>
      <c r="C83" s="2" t="s">
        <v>22</v>
      </c>
      <c r="D83" s="2" t="s">
        <v>36</v>
      </c>
      <c r="E83" s="2" t="s">
        <v>484</v>
      </c>
      <c r="F83" s="2" t="s">
        <v>38</v>
      </c>
      <c r="G83" s="2">
        <f>91-253-2515135</f>
        <v>-2515297</v>
      </c>
      <c r="H83" s="3" t="s">
        <v>485</v>
      </c>
      <c r="I83" s="3" t="s">
        <v>27</v>
      </c>
      <c r="J83" s="2" t="s">
        <v>486</v>
      </c>
      <c r="K83" s="2"/>
      <c r="L83" s="2"/>
      <c r="M83" s="2"/>
      <c r="N83" s="2"/>
      <c r="O83" s="2"/>
      <c r="P83" s="2" t="s">
        <v>31</v>
      </c>
      <c r="Q83" s="4">
        <v>45979</v>
      </c>
      <c r="R83" s="2" t="s">
        <v>487</v>
      </c>
      <c r="S83" s="2">
        <v>1.1000000000000001</v>
      </c>
      <c r="T83" s="2" t="s">
        <v>482</v>
      </c>
      <c r="U83" s="2" t="s">
        <v>34</v>
      </c>
    </row>
    <row r="84" spans="1:21" ht="105" x14ac:dyDescent="0.25">
      <c r="A84" s="2">
        <v>7</v>
      </c>
      <c r="B84" s="2" t="s">
        <v>42</v>
      </c>
      <c r="C84" s="2" t="s">
        <v>22</v>
      </c>
      <c r="D84" s="2" t="s">
        <v>43</v>
      </c>
      <c r="E84" s="2" t="s">
        <v>44</v>
      </c>
      <c r="F84" s="2" t="s">
        <v>38</v>
      </c>
      <c r="G84" s="2">
        <f>91-40-23237375</f>
        <v>-23237324</v>
      </c>
      <c r="H84" s="3" t="s">
        <v>45</v>
      </c>
      <c r="I84" s="3" t="s">
        <v>27</v>
      </c>
      <c r="J84" s="2" t="s">
        <v>488</v>
      </c>
      <c r="K84" s="2"/>
      <c r="L84" s="2"/>
      <c r="M84" s="2"/>
      <c r="N84" s="2"/>
      <c r="O84" s="2"/>
      <c r="P84" s="2" t="s">
        <v>31</v>
      </c>
      <c r="Q84" s="4">
        <v>45979</v>
      </c>
      <c r="R84" s="2" t="s">
        <v>489</v>
      </c>
      <c r="S84" s="2">
        <v>1.1000000000000001</v>
      </c>
      <c r="T84" s="2" t="s">
        <v>482</v>
      </c>
      <c r="U84" s="2" t="s">
        <v>34</v>
      </c>
    </row>
    <row r="85" spans="1:21" ht="90" x14ac:dyDescent="0.25">
      <c r="A85" s="2">
        <v>7</v>
      </c>
      <c r="B85" s="2" t="s">
        <v>490</v>
      </c>
      <c r="C85" s="2" t="s">
        <v>233</v>
      </c>
      <c r="D85" s="2" t="s">
        <v>321</v>
      </c>
      <c r="E85" s="2" t="s">
        <v>491</v>
      </c>
      <c r="F85" s="2" t="s">
        <v>59</v>
      </c>
      <c r="G85" s="2">
        <f>91-124-2342992</f>
        <v>-2343025</v>
      </c>
      <c r="H85" s="3" t="s">
        <v>492</v>
      </c>
      <c r="I85" s="3" t="s">
        <v>493</v>
      </c>
      <c r="J85" s="2" t="s">
        <v>494</v>
      </c>
      <c r="K85" s="2"/>
      <c r="L85" s="2" t="s">
        <v>495</v>
      </c>
      <c r="M85" s="2"/>
      <c r="N85" s="2"/>
      <c r="O85" s="2"/>
      <c r="P85" s="2" t="s">
        <v>31</v>
      </c>
      <c r="Q85" s="4">
        <v>45971</v>
      </c>
      <c r="R85" s="2"/>
      <c r="S85" s="2">
        <v>1.1000000000000001</v>
      </c>
      <c r="T85" s="2" t="s">
        <v>482</v>
      </c>
      <c r="U85" s="2" t="s">
        <v>34</v>
      </c>
    </row>
    <row r="86" spans="1:21" ht="135" x14ac:dyDescent="0.25">
      <c r="A86" s="2">
        <v>7</v>
      </c>
      <c r="B86" s="2" t="s">
        <v>409</v>
      </c>
      <c r="C86" s="2" t="s">
        <v>233</v>
      </c>
      <c r="D86" s="2" t="s">
        <v>321</v>
      </c>
      <c r="E86" s="2" t="s">
        <v>410</v>
      </c>
      <c r="F86" s="2" t="s">
        <v>411</v>
      </c>
      <c r="G86" s="2">
        <f>91-129-2410051</f>
        <v>-2410089</v>
      </c>
      <c r="H86" s="3" t="s">
        <v>412</v>
      </c>
      <c r="I86" s="3" t="s">
        <v>413</v>
      </c>
      <c r="J86" s="2" t="s">
        <v>414</v>
      </c>
      <c r="K86" s="2"/>
      <c r="L86" s="2" t="s">
        <v>496</v>
      </c>
      <c r="M86" s="2"/>
      <c r="N86" s="2"/>
      <c r="O86" s="2"/>
      <c r="P86" s="2" t="s">
        <v>31</v>
      </c>
      <c r="Q86" s="4">
        <v>45979</v>
      </c>
      <c r="R86" s="2"/>
      <c r="S86" s="2">
        <v>1.1000000000000001</v>
      </c>
      <c r="T86" s="2" t="s">
        <v>482</v>
      </c>
      <c r="U86" s="2" t="s">
        <v>34</v>
      </c>
    </row>
    <row r="87" spans="1:21" ht="90" x14ac:dyDescent="0.25">
      <c r="A87" s="2">
        <v>7</v>
      </c>
      <c r="B87" s="2" t="s">
        <v>497</v>
      </c>
      <c r="C87" s="2" t="s">
        <v>56</v>
      </c>
      <c r="D87" s="2" t="s">
        <v>36</v>
      </c>
      <c r="E87" s="2" t="s">
        <v>498</v>
      </c>
      <c r="F87" s="2" t="s">
        <v>59</v>
      </c>
      <c r="G87" s="2">
        <f>91-257-2258011</f>
        <v>-2258177</v>
      </c>
      <c r="H87" s="3" t="s">
        <v>499</v>
      </c>
      <c r="I87" s="3" t="s">
        <v>500</v>
      </c>
      <c r="J87" s="2" t="s">
        <v>501</v>
      </c>
      <c r="K87" s="2"/>
      <c r="L87" s="2" t="s">
        <v>422</v>
      </c>
      <c r="M87" s="2" t="s">
        <v>502</v>
      </c>
      <c r="N87" s="2"/>
      <c r="O87" s="2"/>
      <c r="P87" s="2" t="s">
        <v>31</v>
      </c>
      <c r="Q87" s="4">
        <v>45976</v>
      </c>
      <c r="R87" s="2" t="s">
        <v>503</v>
      </c>
      <c r="S87" s="2">
        <v>1.1000000000000001</v>
      </c>
      <c r="T87" s="2" t="s">
        <v>482</v>
      </c>
      <c r="U87" s="2" t="s">
        <v>34</v>
      </c>
    </row>
    <row r="88" spans="1:21" ht="165" x14ac:dyDescent="0.25">
      <c r="A88" s="2">
        <v>7</v>
      </c>
      <c r="B88" s="2" t="s">
        <v>504</v>
      </c>
      <c r="C88" s="2" t="s">
        <v>233</v>
      </c>
      <c r="D88" s="2" t="s">
        <v>36</v>
      </c>
      <c r="E88" s="2" t="s">
        <v>484</v>
      </c>
      <c r="F88" s="2" t="s">
        <v>49</v>
      </c>
      <c r="G88" s="2">
        <f>91-253-2595618</f>
        <v>-2595780</v>
      </c>
      <c r="H88" s="3" t="s">
        <v>505</v>
      </c>
      <c r="I88" s="3" t="s">
        <v>506</v>
      </c>
      <c r="J88" s="2" t="s">
        <v>507</v>
      </c>
      <c r="K88" s="2"/>
      <c r="L88" s="2" t="s">
        <v>508</v>
      </c>
      <c r="M88" s="2"/>
      <c r="N88" s="2"/>
      <c r="O88" s="2"/>
      <c r="P88" s="2" t="s">
        <v>31</v>
      </c>
      <c r="Q88" s="4">
        <v>45979</v>
      </c>
      <c r="R88" s="2"/>
      <c r="S88" s="2">
        <v>1.1000000000000001</v>
      </c>
      <c r="T88" s="2" t="s">
        <v>482</v>
      </c>
      <c r="U88" s="2" t="s">
        <v>34</v>
      </c>
    </row>
    <row r="89" spans="1:21" ht="135" x14ac:dyDescent="0.25">
      <c r="A89" s="2">
        <v>7</v>
      </c>
      <c r="B89" s="2" t="s">
        <v>509</v>
      </c>
      <c r="C89" s="2" t="s">
        <v>510</v>
      </c>
      <c r="D89" s="2" t="s">
        <v>36</v>
      </c>
      <c r="E89" s="2" t="s">
        <v>484</v>
      </c>
      <c r="F89" s="2" t="s">
        <v>49</v>
      </c>
      <c r="G89" s="2">
        <f>91-253-2515175</f>
        <v>-2515337</v>
      </c>
      <c r="H89" s="2"/>
      <c r="I89" s="3" t="s">
        <v>511</v>
      </c>
      <c r="J89" s="2" t="s">
        <v>512</v>
      </c>
      <c r="K89" s="2"/>
      <c r="L89" s="2" t="s">
        <v>513</v>
      </c>
      <c r="M89" s="2"/>
      <c r="N89" s="2"/>
      <c r="O89" s="2"/>
      <c r="P89" s="2" t="s">
        <v>31</v>
      </c>
      <c r="Q89" s="4">
        <v>45973</v>
      </c>
      <c r="R89" s="2"/>
      <c r="S89" s="2">
        <v>1.1000000000000001</v>
      </c>
      <c r="T89" s="2" t="s">
        <v>482</v>
      </c>
      <c r="U89" s="2" t="s">
        <v>34</v>
      </c>
    </row>
    <row r="90" spans="1:21" ht="75" x14ac:dyDescent="0.25">
      <c r="A90" s="2">
        <v>7</v>
      </c>
      <c r="B90" s="2" t="s">
        <v>514</v>
      </c>
      <c r="C90" s="2" t="s">
        <v>56</v>
      </c>
      <c r="D90" s="2" t="s">
        <v>298</v>
      </c>
      <c r="E90" s="2" t="s">
        <v>418</v>
      </c>
      <c r="F90" s="2" t="s">
        <v>113</v>
      </c>
      <c r="G90" s="2">
        <f>91-80-28412345</f>
        <v>-28412334</v>
      </c>
      <c r="H90" s="3" t="s">
        <v>515</v>
      </c>
      <c r="I90" s="2"/>
      <c r="J90" s="2" t="s">
        <v>516</v>
      </c>
      <c r="K90" s="2"/>
      <c r="L90" s="2" t="s">
        <v>517</v>
      </c>
      <c r="M90" s="2"/>
      <c r="N90" s="2"/>
      <c r="O90" s="2"/>
      <c r="P90" s="2" t="s">
        <v>31</v>
      </c>
      <c r="Q90" s="4">
        <v>45971</v>
      </c>
      <c r="R90" s="2"/>
      <c r="S90" s="2">
        <v>1.1000000000000001</v>
      </c>
      <c r="T90" s="2" t="s">
        <v>482</v>
      </c>
      <c r="U90" s="2" t="s">
        <v>34</v>
      </c>
    </row>
    <row r="91" spans="1:21" ht="45" x14ac:dyDescent="0.25">
      <c r="A91" s="2">
        <v>7</v>
      </c>
      <c r="B91" s="2" t="s">
        <v>518</v>
      </c>
      <c r="C91" s="2" t="s">
        <v>56</v>
      </c>
      <c r="D91" s="2" t="s">
        <v>298</v>
      </c>
      <c r="E91" s="2" t="s">
        <v>299</v>
      </c>
      <c r="F91" s="2" t="s">
        <v>49</v>
      </c>
      <c r="G91" s="2">
        <f>91-80-27831111</f>
        <v>-27831100</v>
      </c>
      <c r="H91" s="3" t="s">
        <v>519</v>
      </c>
      <c r="I91" s="3" t="s">
        <v>520</v>
      </c>
      <c r="J91" s="2" t="s">
        <v>440</v>
      </c>
      <c r="K91" s="2"/>
      <c r="L91" s="2" t="s">
        <v>521</v>
      </c>
      <c r="M91" s="2"/>
      <c r="N91" s="2"/>
      <c r="O91" s="2"/>
      <c r="P91" s="2" t="s">
        <v>31</v>
      </c>
      <c r="Q91" s="4">
        <v>45976</v>
      </c>
      <c r="R91" s="2"/>
      <c r="S91" s="2">
        <v>1.1000000000000001</v>
      </c>
      <c r="T91" s="2" t="s">
        <v>482</v>
      </c>
      <c r="U91" s="2" t="s">
        <v>34</v>
      </c>
    </row>
    <row r="92" spans="1:21" ht="60" x14ac:dyDescent="0.25">
      <c r="A92" s="2">
        <v>7</v>
      </c>
      <c r="B92" s="2" t="s">
        <v>522</v>
      </c>
      <c r="C92" s="2" t="s">
        <v>315</v>
      </c>
      <c r="D92" s="2" t="s">
        <v>102</v>
      </c>
      <c r="E92" s="2" t="s">
        <v>523</v>
      </c>
      <c r="F92" s="2" t="s">
        <v>59</v>
      </c>
      <c r="G92" s="2">
        <f>91-427-2445678</f>
        <v>-2446014</v>
      </c>
      <c r="H92" s="2"/>
      <c r="I92" s="2"/>
      <c r="J92" s="2" t="s">
        <v>523</v>
      </c>
      <c r="K92" s="2"/>
      <c r="L92" s="2" t="s">
        <v>524</v>
      </c>
      <c r="M92" s="2"/>
      <c r="N92" s="2"/>
      <c r="O92" s="2"/>
      <c r="P92" s="2" t="s">
        <v>31</v>
      </c>
      <c r="Q92" s="4">
        <v>45973</v>
      </c>
      <c r="R92" s="2"/>
      <c r="S92" s="2">
        <v>1.1000000000000001</v>
      </c>
      <c r="T92" s="2" t="s">
        <v>482</v>
      </c>
      <c r="U92" s="2" t="s">
        <v>34</v>
      </c>
    </row>
    <row r="93" spans="1:21" ht="90" x14ac:dyDescent="0.25">
      <c r="A93" s="2">
        <v>7</v>
      </c>
      <c r="B93" s="2" t="s">
        <v>525</v>
      </c>
      <c r="C93" s="2" t="s">
        <v>315</v>
      </c>
      <c r="D93" s="2" t="s">
        <v>36</v>
      </c>
      <c r="E93" s="2" t="s">
        <v>526</v>
      </c>
      <c r="F93" s="2" t="s">
        <v>527</v>
      </c>
      <c r="G93" s="2">
        <f>91-22-22628000</f>
        <v>-22627931</v>
      </c>
      <c r="H93" s="3" t="s">
        <v>528</v>
      </c>
      <c r="I93" s="3" t="s">
        <v>61</v>
      </c>
      <c r="J93" s="2" t="s">
        <v>529</v>
      </c>
      <c r="K93" s="2"/>
      <c r="L93" s="2" t="s">
        <v>530</v>
      </c>
      <c r="M93" s="2"/>
      <c r="N93" s="2"/>
      <c r="O93" s="2"/>
      <c r="P93" s="2" t="s">
        <v>31</v>
      </c>
      <c r="Q93" s="4">
        <v>45979</v>
      </c>
      <c r="R93" s="2"/>
      <c r="S93" s="2">
        <v>1.1000000000000001</v>
      </c>
      <c r="T93" s="2" t="s">
        <v>482</v>
      </c>
      <c r="U93" s="2" t="s">
        <v>34</v>
      </c>
    </row>
    <row r="94" spans="1:21" ht="60" x14ac:dyDescent="0.25">
      <c r="A94" s="2">
        <v>7</v>
      </c>
      <c r="B94" s="2" t="s">
        <v>531</v>
      </c>
      <c r="C94" s="2" t="s">
        <v>315</v>
      </c>
      <c r="D94" s="2" t="s">
        <v>36</v>
      </c>
      <c r="E94" s="2" t="s">
        <v>484</v>
      </c>
      <c r="F94" s="2" t="s">
        <v>49</v>
      </c>
      <c r="G94" s="2">
        <f>91-253-2512345</f>
        <v>-2512507</v>
      </c>
      <c r="H94" s="2"/>
      <c r="I94" s="2"/>
      <c r="J94" s="2" t="s">
        <v>484</v>
      </c>
      <c r="K94" s="2"/>
      <c r="L94" s="2" t="s">
        <v>532</v>
      </c>
      <c r="M94" s="2"/>
      <c r="N94" s="2"/>
      <c r="O94" s="2"/>
      <c r="P94" s="2" t="s">
        <v>31</v>
      </c>
      <c r="Q94" s="4">
        <v>45971</v>
      </c>
      <c r="R94" s="2"/>
      <c r="S94" s="2">
        <v>1.1000000000000001</v>
      </c>
      <c r="T94" s="2" t="s">
        <v>482</v>
      </c>
      <c r="U94" s="2" t="s">
        <v>34</v>
      </c>
    </row>
    <row r="95" spans="1:21" ht="45" x14ac:dyDescent="0.25">
      <c r="A95" s="2">
        <v>7</v>
      </c>
      <c r="B95" s="2" t="s">
        <v>533</v>
      </c>
      <c r="C95" s="2" t="s">
        <v>315</v>
      </c>
      <c r="D95" s="2" t="s">
        <v>36</v>
      </c>
      <c r="E95" s="2" t="s">
        <v>484</v>
      </c>
      <c r="F95" s="2" t="s">
        <v>113</v>
      </c>
      <c r="G95" s="2">
        <f>91-253-2391234</f>
        <v>-2391396</v>
      </c>
      <c r="H95" s="3" t="s">
        <v>534</v>
      </c>
      <c r="I95" s="2"/>
      <c r="J95" s="2" t="s">
        <v>535</v>
      </c>
      <c r="K95" s="2"/>
      <c r="L95" s="2" t="s">
        <v>536</v>
      </c>
      <c r="M95" s="2"/>
      <c r="N95" s="2"/>
      <c r="O95" s="2"/>
      <c r="P95" s="2" t="s">
        <v>31</v>
      </c>
      <c r="Q95" s="4">
        <v>45976</v>
      </c>
      <c r="R95" s="2"/>
      <c r="S95" s="2">
        <v>1.1000000000000001</v>
      </c>
      <c r="T95" s="2" t="s">
        <v>482</v>
      </c>
      <c r="U95" s="2" t="s">
        <v>34</v>
      </c>
    </row>
    <row r="96" spans="1:21" ht="75" x14ac:dyDescent="0.25">
      <c r="A96" s="2">
        <v>7</v>
      </c>
      <c r="B96" s="2" t="s">
        <v>537</v>
      </c>
      <c r="C96" s="2" t="s">
        <v>22</v>
      </c>
      <c r="D96" s="2" t="s">
        <v>36</v>
      </c>
      <c r="E96" s="2" t="s">
        <v>484</v>
      </c>
      <c r="F96" s="2" t="s">
        <v>476</v>
      </c>
      <c r="G96" s="2">
        <f>91-253-2513456</f>
        <v>-2513618</v>
      </c>
      <c r="H96" s="2"/>
      <c r="I96" s="2"/>
      <c r="J96" s="2" t="s">
        <v>538</v>
      </c>
      <c r="K96" s="2"/>
      <c r="L96" s="2" t="s">
        <v>539</v>
      </c>
      <c r="M96" s="2"/>
      <c r="N96" s="2"/>
      <c r="O96" s="2"/>
      <c r="P96" s="2" t="s">
        <v>31</v>
      </c>
      <c r="Q96" s="4">
        <v>45973</v>
      </c>
      <c r="R96" s="2"/>
      <c r="S96" s="2">
        <v>1.1000000000000001</v>
      </c>
      <c r="T96" s="2" t="s">
        <v>482</v>
      </c>
      <c r="U96" s="2" t="s">
        <v>34</v>
      </c>
    </row>
    <row r="97" spans="1:21" ht="60" x14ac:dyDescent="0.25">
      <c r="A97" s="2">
        <v>7</v>
      </c>
      <c r="B97" s="2" t="s">
        <v>540</v>
      </c>
      <c r="C97" s="2" t="s">
        <v>426</v>
      </c>
      <c r="D97" s="2" t="s">
        <v>36</v>
      </c>
      <c r="E97" s="2" t="s">
        <v>484</v>
      </c>
      <c r="F97" s="2" t="s">
        <v>541</v>
      </c>
      <c r="G97" s="2">
        <f>91-2550-266001</f>
        <v>-268460</v>
      </c>
      <c r="H97" s="2"/>
      <c r="I97" s="2"/>
      <c r="J97" s="2" t="s">
        <v>542</v>
      </c>
      <c r="K97" s="2"/>
      <c r="L97" s="2" t="s">
        <v>543</v>
      </c>
      <c r="M97" s="2"/>
      <c r="N97" s="2"/>
      <c r="O97" s="2"/>
      <c r="P97" s="2" t="s">
        <v>31</v>
      </c>
      <c r="Q97" s="4">
        <v>45979</v>
      </c>
      <c r="R97" s="2"/>
      <c r="S97" s="2">
        <v>1.1000000000000001</v>
      </c>
      <c r="T97" s="2" t="s">
        <v>482</v>
      </c>
      <c r="U97" s="2" t="s">
        <v>34</v>
      </c>
    </row>
    <row r="98" spans="1:21" ht="45" x14ac:dyDescent="0.25">
      <c r="A98" s="2">
        <v>7</v>
      </c>
      <c r="B98" s="2" t="s">
        <v>544</v>
      </c>
      <c r="C98" s="2" t="s">
        <v>391</v>
      </c>
      <c r="D98" s="2" t="s">
        <v>36</v>
      </c>
      <c r="E98" s="2" t="s">
        <v>484</v>
      </c>
      <c r="F98" s="2" t="s">
        <v>113</v>
      </c>
      <c r="G98" s="2">
        <f>91-9422256789</f>
        <v>-9422256698</v>
      </c>
      <c r="H98" s="2"/>
      <c r="I98" s="2"/>
      <c r="J98" s="2" t="s">
        <v>545</v>
      </c>
      <c r="K98" s="2"/>
      <c r="L98" s="2" t="s">
        <v>546</v>
      </c>
      <c r="M98" s="2"/>
      <c r="N98" s="2"/>
      <c r="O98" s="2"/>
      <c r="P98" s="2" t="s">
        <v>31</v>
      </c>
      <c r="Q98" s="4">
        <v>45971</v>
      </c>
      <c r="R98" s="2"/>
      <c r="S98" s="2">
        <v>1.1000000000000001</v>
      </c>
      <c r="T98" s="2" t="s">
        <v>482</v>
      </c>
      <c r="U98" s="2" t="s">
        <v>34</v>
      </c>
    </row>
    <row r="99" spans="1:21" ht="75" x14ac:dyDescent="0.25">
      <c r="A99" s="2">
        <v>7</v>
      </c>
      <c r="B99" s="2" t="s">
        <v>547</v>
      </c>
      <c r="C99" s="2" t="s">
        <v>391</v>
      </c>
      <c r="D99" s="2" t="s">
        <v>370</v>
      </c>
      <c r="E99" s="2" t="s">
        <v>548</v>
      </c>
      <c r="F99" s="2" t="s">
        <v>113</v>
      </c>
      <c r="G99" s="2">
        <f>91-7288-234567</f>
        <v>-241764</v>
      </c>
      <c r="H99" s="2"/>
      <c r="I99" s="2"/>
      <c r="J99" s="2" t="s">
        <v>549</v>
      </c>
      <c r="K99" s="2"/>
      <c r="L99" s="2" t="s">
        <v>550</v>
      </c>
      <c r="M99" s="2"/>
      <c r="N99" s="2"/>
      <c r="O99" s="2"/>
      <c r="P99" s="2" t="s">
        <v>31</v>
      </c>
      <c r="Q99" s="4">
        <v>45973</v>
      </c>
      <c r="R99" s="2"/>
      <c r="S99" s="2">
        <v>1.1000000000000001</v>
      </c>
      <c r="T99" s="2" t="s">
        <v>482</v>
      </c>
      <c r="U99" s="2" t="s">
        <v>34</v>
      </c>
    </row>
    <row r="100" spans="1:21" ht="90" x14ac:dyDescent="0.25">
      <c r="A100" s="2">
        <v>7</v>
      </c>
      <c r="B100" s="2" t="s">
        <v>551</v>
      </c>
      <c r="C100" s="2" t="s">
        <v>315</v>
      </c>
      <c r="D100" s="2" t="s">
        <v>36</v>
      </c>
      <c r="E100" s="2" t="s">
        <v>95</v>
      </c>
      <c r="F100" s="2" t="s">
        <v>49</v>
      </c>
      <c r="G100" s="2">
        <f>91-20-26870011</f>
        <v>-26869940</v>
      </c>
      <c r="H100" s="2"/>
      <c r="I100" s="2"/>
      <c r="J100" s="2" t="s">
        <v>552</v>
      </c>
      <c r="K100" s="2"/>
      <c r="L100" s="2" t="s">
        <v>553</v>
      </c>
      <c r="M100" s="2"/>
      <c r="N100" s="2"/>
      <c r="O100" s="2"/>
      <c r="P100" s="2" t="s">
        <v>31</v>
      </c>
      <c r="Q100" s="4">
        <v>45976</v>
      </c>
      <c r="R100" s="2"/>
      <c r="S100" s="2">
        <v>1.1000000000000001</v>
      </c>
      <c r="T100" s="2" t="s">
        <v>482</v>
      </c>
      <c r="U100" s="2" t="s">
        <v>34</v>
      </c>
    </row>
    <row r="101" spans="1:21" ht="60" x14ac:dyDescent="0.25">
      <c r="A101" s="2">
        <v>7</v>
      </c>
      <c r="B101" s="2" t="s">
        <v>554</v>
      </c>
      <c r="C101" s="2" t="s">
        <v>315</v>
      </c>
      <c r="D101" s="2" t="s">
        <v>36</v>
      </c>
      <c r="E101" s="2" t="s">
        <v>484</v>
      </c>
      <c r="F101" s="2" t="s">
        <v>49</v>
      </c>
      <c r="G101" s="2">
        <f>91-253-2394567</f>
        <v>-2394729</v>
      </c>
      <c r="H101" s="2"/>
      <c r="I101" s="2"/>
      <c r="J101" s="2" t="s">
        <v>555</v>
      </c>
      <c r="K101" s="2"/>
      <c r="L101" s="2" t="s">
        <v>556</v>
      </c>
      <c r="M101" s="2"/>
      <c r="N101" s="2"/>
      <c r="O101" s="2"/>
      <c r="P101" s="2" t="s">
        <v>31</v>
      </c>
      <c r="Q101" s="4">
        <v>45971</v>
      </c>
      <c r="R101" s="2"/>
      <c r="S101" s="2">
        <v>1.1000000000000001</v>
      </c>
      <c r="T101" s="2" t="s">
        <v>482</v>
      </c>
      <c r="U101" s="2" t="s">
        <v>34</v>
      </c>
    </row>
    <row r="102" spans="1:21" ht="120" x14ac:dyDescent="0.25">
      <c r="A102" s="2">
        <v>7</v>
      </c>
      <c r="B102" s="2" t="s">
        <v>557</v>
      </c>
      <c r="C102" s="2" t="s">
        <v>119</v>
      </c>
      <c r="D102" s="2" t="s">
        <v>57</v>
      </c>
      <c r="E102" s="2" t="s">
        <v>558</v>
      </c>
      <c r="F102" s="2" t="s">
        <v>49</v>
      </c>
      <c r="G102" s="2">
        <f>91-542-2635247</f>
        <v>-2635698</v>
      </c>
      <c r="H102" s="3" t="s">
        <v>559</v>
      </c>
      <c r="I102" s="3" t="s">
        <v>560</v>
      </c>
      <c r="J102" s="2" t="s">
        <v>561</v>
      </c>
      <c r="K102" s="2"/>
      <c r="L102" s="2" t="s">
        <v>562</v>
      </c>
      <c r="M102" s="2"/>
      <c r="N102" s="2"/>
      <c r="O102" s="2"/>
      <c r="P102" s="2" t="s">
        <v>31</v>
      </c>
      <c r="Q102" s="4">
        <v>45979</v>
      </c>
      <c r="R102" s="2"/>
      <c r="S102" s="2">
        <v>1.1000000000000001</v>
      </c>
      <c r="T102" s="2" t="s">
        <v>482</v>
      </c>
      <c r="U102" s="2" t="s">
        <v>34</v>
      </c>
    </row>
    <row r="103" spans="1:21" ht="90" x14ac:dyDescent="0.25">
      <c r="A103" s="2">
        <v>7</v>
      </c>
      <c r="B103" s="2" t="s">
        <v>563</v>
      </c>
      <c r="C103" s="2" t="s">
        <v>119</v>
      </c>
      <c r="D103" s="2" t="s">
        <v>36</v>
      </c>
      <c r="E103" s="2" t="s">
        <v>95</v>
      </c>
      <c r="F103" s="2" t="s">
        <v>49</v>
      </c>
      <c r="G103" s="2">
        <f>91-2138-282128</f>
        <v>-284175</v>
      </c>
      <c r="H103" s="3" t="s">
        <v>564</v>
      </c>
      <c r="I103" s="3" t="s">
        <v>565</v>
      </c>
      <c r="J103" s="2" t="s">
        <v>566</v>
      </c>
      <c r="K103" s="2"/>
      <c r="L103" s="2" t="s">
        <v>567</v>
      </c>
      <c r="M103" s="2"/>
      <c r="N103" s="2"/>
      <c r="O103" s="2"/>
      <c r="P103" s="2" t="s">
        <v>31</v>
      </c>
      <c r="Q103" s="4">
        <v>45979</v>
      </c>
      <c r="R103" s="2"/>
      <c r="S103" s="2">
        <v>1.1000000000000001</v>
      </c>
      <c r="T103" s="2" t="s">
        <v>482</v>
      </c>
      <c r="U103" s="2" t="s">
        <v>34</v>
      </c>
    </row>
    <row r="104" spans="1:21" ht="45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7</v>
      </c>
      <c r="I104" s="1" t="s">
        <v>8</v>
      </c>
      <c r="J104" s="1" t="s">
        <v>9</v>
      </c>
      <c r="K104" s="1" t="s">
        <v>10</v>
      </c>
      <c r="L104" s="1" t="s">
        <v>11</v>
      </c>
      <c r="M104" s="1" t="s">
        <v>12</v>
      </c>
      <c r="N104" s="1" t="s">
        <v>13</v>
      </c>
      <c r="O104" s="1" t="s">
        <v>14</v>
      </c>
      <c r="P104" s="1" t="s">
        <v>15</v>
      </c>
      <c r="Q104" s="1" t="s">
        <v>16</v>
      </c>
      <c r="R104" s="1" t="s">
        <v>17</v>
      </c>
      <c r="S104" s="1" t="s">
        <v>18</v>
      </c>
      <c r="T104" s="1" t="s">
        <v>19</v>
      </c>
      <c r="U104" s="1" t="s">
        <v>20</v>
      </c>
    </row>
    <row r="105" spans="1:21" ht="180" x14ac:dyDescent="0.25">
      <c r="A105" s="2">
        <v>8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>
        <f>91-11-26514044</f>
        <v>-26513964</v>
      </c>
      <c r="H105" s="3" t="s">
        <v>26</v>
      </c>
      <c r="I105" s="3" t="s">
        <v>27</v>
      </c>
      <c r="J105" s="2" t="s">
        <v>406</v>
      </c>
      <c r="K105" s="2"/>
      <c r="L105" s="2"/>
      <c r="M105" s="2" t="s">
        <v>568</v>
      </c>
      <c r="N105" s="2"/>
      <c r="O105" s="2"/>
      <c r="P105" s="2" t="s">
        <v>31</v>
      </c>
      <c r="Q105" s="4">
        <v>45980</v>
      </c>
      <c r="R105" s="2" t="s">
        <v>569</v>
      </c>
      <c r="S105" s="2">
        <v>1</v>
      </c>
      <c r="T105" s="2" t="s">
        <v>570</v>
      </c>
      <c r="U105" s="2" t="s">
        <v>34</v>
      </c>
    </row>
    <row r="106" spans="1:21" ht="90" x14ac:dyDescent="0.25">
      <c r="A106" s="2">
        <v>8</v>
      </c>
      <c r="B106" s="2" t="s">
        <v>483</v>
      </c>
      <c r="C106" s="2" t="s">
        <v>22</v>
      </c>
      <c r="D106" s="2" t="s">
        <v>36</v>
      </c>
      <c r="E106" s="2" t="s">
        <v>484</v>
      </c>
      <c r="F106" s="2" t="s">
        <v>38</v>
      </c>
      <c r="G106" s="2">
        <f>91-253-2515135</f>
        <v>-2515297</v>
      </c>
      <c r="H106" s="3" t="s">
        <v>485</v>
      </c>
      <c r="I106" s="3" t="s">
        <v>27</v>
      </c>
      <c r="J106" s="2" t="s">
        <v>571</v>
      </c>
      <c r="K106" s="2"/>
      <c r="L106" s="2" t="s">
        <v>572</v>
      </c>
      <c r="M106" s="2"/>
      <c r="N106" s="2"/>
      <c r="O106" s="2"/>
      <c r="P106" s="2" t="s">
        <v>31</v>
      </c>
      <c r="Q106" s="4">
        <v>45980</v>
      </c>
      <c r="R106" s="2"/>
      <c r="S106" s="2">
        <v>1</v>
      </c>
      <c r="T106" s="2" t="s">
        <v>570</v>
      </c>
      <c r="U106" s="2" t="s">
        <v>34</v>
      </c>
    </row>
    <row r="107" spans="1:21" ht="90" x14ac:dyDescent="0.25">
      <c r="A107" s="2">
        <v>8</v>
      </c>
      <c r="B107" s="2" t="s">
        <v>573</v>
      </c>
      <c r="C107" s="2" t="s">
        <v>22</v>
      </c>
      <c r="D107" s="2" t="s">
        <v>135</v>
      </c>
      <c r="E107" s="2" t="s">
        <v>136</v>
      </c>
      <c r="F107" s="2" t="s">
        <v>38</v>
      </c>
      <c r="G107" s="2">
        <f>91-866-2490187</f>
        <v>-2490962</v>
      </c>
      <c r="H107" s="3" t="s">
        <v>574</v>
      </c>
      <c r="I107" s="3" t="s">
        <v>27</v>
      </c>
      <c r="J107" s="2" t="s">
        <v>575</v>
      </c>
      <c r="K107" s="2"/>
      <c r="L107" s="2" t="s">
        <v>576</v>
      </c>
      <c r="M107" s="2"/>
      <c r="N107" s="2"/>
      <c r="O107" s="2"/>
      <c r="P107" s="2" t="s">
        <v>31</v>
      </c>
      <c r="Q107" s="4">
        <v>45980</v>
      </c>
      <c r="R107" s="2"/>
      <c r="S107" s="2">
        <v>1</v>
      </c>
      <c r="T107" s="2" t="s">
        <v>570</v>
      </c>
      <c r="U107" s="2" t="s">
        <v>34</v>
      </c>
    </row>
    <row r="108" spans="1:21" ht="105" x14ac:dyDescent="0.25">
      <c r="A108" s="2">
        <v>8</v>
      </c>
      <c r="B108" s="2" t="s">
        <v>577</v>
      </c>
      <c r="C108" s="2" t="s">
        <v>22</v>
      </c>
      <c r="D108" s="2" t="s">
        <v>298</v>
      </c>
      <c r="E108" s="2" t="s">
        <v>578</v>
      </c>
      <c r="F108" s="2" t="s">
        <v>38</v>
      </c>
      <c r="G108" s="2">
        <f>91-80-22244005</f>
        <v>-22243994</v>
      </c>
      <c r="H108" s="3" t="s">
        <v>579</v>
      </c>
      <c r="I108" s="3" t="s">
        <v>27</v>
      </c>
      <c r="J108" s="2" t="s">
        <v>580</v>
      </c>
      <c r="K108" s="2"/>
      <c r="L108" s="2" t="s">
        <v>581</v>
      </c>
      <c r="M108" s="2"/>
      <c r="N108" s="2"/>
      <c r="O108" s="2"/>
      <c r="P108" s="2" t="s">
        <v>31</v>
      </c>
      <c r="Q108" s="4">
        <v>45980</v>
      </c>
      <c r="R108" s="2"/>
      <c r="S108" s="2">
        <v>1</v>
      </c>
      <c r="T108" s="2" t="s">
        <v>570</v>
      </c>
      <c r="U108" s="2" t="s">
        <v>34</v>
      </c>
    </row>
    <row r="109" spans="1:21" ht="105" x14ac:dyDescent="0.25">
      <c r="A109" s="2">
        <v>8</v>
      </c>
      <c r="B109" s="2" t="s">
        <v>582</v>
      </c>
      <c r="C109" s="2" t="s">
        <v>233</v>
      </c>
      <c r="D109" s="2" t="s">
        <v>321</v>
      </c>
      <c r="E109" s="2" t="s">
        <v>583</v>
      </c>
      <c r="F109" s="2" t="s">
        <v>59</v>
      </c>
      <c r="G109" s="2">
        <f>91-124-2342992</f>
        <v>-2343025</v>
      </c>
      <c r="H109" s="3" t="s">
        <v>492</v>
      </c>
      <c r="I109" s="3" t="s">
        <v>493</v>
      </c>
      <c r="J109" s="2" t="s">
        <v>584</v>
      </c>
      <c r="K109" s="2"/>
      <c r="L109" s="2" t="s">
        <v>585</v>
      </c>
      <c r="M109" s="2"/>
      <c r="N109" s="2"/>
      <c r="O109" s="2"/>
      <c r="P109" s="2" t="s">
        <v>31</v>
      </c>
      <c r="Q109" s="4">
        <v>45980</v>
      </c>
      <c r="R109" s="2"/>
      <c r="S109" s="2">
        <v>1</v>
      </c>
      <c r="T109" s="2" t="s">
        <v>570</v>
      </c>
      <c r="U109" s="2" t="s">
        <v>34</v>
      </c>
    </row>
    <row r="110" spans="1:21" ht="135" x14ac:dyDescent="0.25">
      <c r="A110" s="2">
        <v>8</v>
      </c>
      <c r="B110" s="2" t="s">
        <v>409</v>
      </c>
      <c r="C110" s="2" t="s">
        <v>233</v>
      </c>
      <c r="D110" s="2" t="s">
        <v>321</v>
      </c>
      <c r="E110" s="2" t="s">
        <v>410</v>
      </c>
      <c r="F110" s="2" t="s">
        <v>411</v>
      </c>
      <c r="G110" s="2">
        <f>91-129-2410051</f>
        <v>-2410089</v>
      </c>
      <c r="H110" s="3" t="s">
        <v>412</v>
      </c>
      <c r="I110" s="3" t="s">
        <v>413</v>
      </c>
      <c r="J110" s="2" t="s">
        <v>414</v>
      </c>
      <c r="K110" s="2"/>
      <c r="L110" s="2" t="s">
        <v>586</v>
      </c>
      <c r="M110" s="2"/>
      <c r="N110" s="2"/>
      <c r="O110" s="2"/>
      <c r="P110" s="2" t="s">
        <v>31</v>
      </c>
      <c r="Q110" s="4">
        <v>45980</v>
      </c>
      <c r="R110" s="2"/>
      <c r="S110" s="2">
        <v>1</v>
      </c>
      <c r="T110" s="2" t="s">
        <v>570</v>
      </c>
      <c r="U110" s="2" t="s">
        <v>34</v>
      </c>
    </row>
    <row r="111" spans="1:21" ht="105" x14ac:dyDescent="0.25">
      <c r="A111" s="2">
        <v>8</v>
      </c>
      <c r="B111" s="2" t="s">
        <v>587</v>
      </c>
      <c r="C111" s="2" t="s">
        <v>56</v>
      </c>
      <c r="D111" s="2" t="s">
        <v>36</v>
      </c>
      <c r="E111" s="2" t="s">
        <v>484</v>
      </c>
      <c r="F111" s="2" t="s">
        <v>59</v>
      </c>
      <c r="G111" s="2">
        <f>91-2550-264365</f>
        <v>-266824</v>
      </c>
      <c r="H111" s="3" t="s">
        <v>588</v>
      </c>
      <c r="I111" s="3" t="s">
        <v>589</v>
      </c>
      <c r="J111" s="2" t="s">
        <v>590</v>
      </c>
      <c r="K111" s="2"/>
      <c r="L111" s="2" t="s">
        <v>422</v>
      </c>
      <c r="M111" s="2" t="s">
        <v>591</v>
      </c>
      <c r="N111" s="2"/>
      <c r="O111" s="2" t="s">
        <v>69</v>
      </c>
      <c r="P111" s="2" t="s">
        <v>31</v>
      </c>
      <c r="Q111" s="4">
        <v>45980</v>
      </c>
      <c r="R111" s="2" t="s">
        <v>592</v>
      </c>
      <c r="S111" s="2">
        <v>1</v>
      </c>
      <c r="T111" s="2" t="s">
        <v>570</v>
      </c>
      <c r="U111" s="2" t="s">
        <v>34</v>
      </c>
    </row>
    <row r="112" spans="1:21" ht="120" x14ac:dyDescent="0.25">
      <c r="A112" s="2">
        <v>8</v>
      </c>
      <c r="B112" s="2" t="s">
        <v>593</v>
      </c>
      <c r="C112" s="2" t="s">
        <v>56</v>
      </c>
      <c r="D112" s="2" t="s">
        <v>36</v>
      </c>
      <c r="E112" s="2" t="s">
        <v>484</v>
      </c>
      <c r="F112" s="2" t="s">
        <v>59</v>
      </c>
      <c r="G112" s="2">
        <f>91-253-2405050</f>
        <v>-2405212</v>
      </c>
      <c r="H112" s="3" t="s">
        <v>594</v>
      </c>
      <c r="I112" s="3" t="s">
        <v>595</v>
      </c>
      <c r="J112" s="2" t="s">
        <v>596</v>
      </c>
      <c r="K112" s="2"/>
      <c r="L112" s="2" t="s">
        <v>422</v>
      </c>
      <c r="M112" s="2" t="s">
        <v>351</v>
      </c>
      <c r="N112" s="2"/>
      <c r="O112" s="2"/>
      <c r="P112" s="2" t="s">
        <v>31</v>
      </c>
      <c r="Q112" s="4">
        <v>45980</v>
      </c>
      <c r="R112" s="2" t="s">
        <v>597</v>
      </c>
      <c r="S112" s="2">
        <v>1</v>
      </c>
      <c r="T112" s="2" t="s">
        <v>570</v>
      </c>
      <c r="U112" s="2" t="s">
        <v>34</v>
      </c>
    </row>
    <row r="113" spans="1:21" ht="105" x14ac:dyDescent="0.25">
      <c r="A113" s="2">
        <v>8</v>
      </c>
      <c r="B113" s="2" t="s">
        <v>598</v>
      </c>
      <c r="C113" s="2" t="s">
        <v>56</v>
      </c>
      <c r="D113" s="2" t="s">
        <v>36</v>
      </c>
      <c r="E113" s="2" t="s">
        <v>484</v>
      </c>
      <c r="F113" s="2" t="s">
        <v>49</v>
      </c>
      <c r="G113" s="2">
        <f>91-253-2391333</f>
        <v>-2391495</v>
      </c>
      <c r="H113" s="3" t="s">
        <v>599</v>
      </c>
      <c r="I113" s="3" t="s">
        <v>600</v>
      </c>
      <c r="J113" s="2" t="s">
        <v>601</v>
      </c>
      <c r="K113" s="2"/>
      <c r="L113" s="2" t="s">
        <v>422</v>
      </c>
      <c r="M113" s="2" t="s">
        <v>602</v>
      </c>
      <c r="N113" s="2"/>
      <c r="O113" s="2"/>
      <c r="P113" s="2" t="s">
        <v>31</v>
      </c>
      <c r="Q113" s="4">
        <v>45980</v>
      </c>
      <c r="R113" s="2" t="s">
        <v>603</v>
      </c>
      <c r="S113" s="2">
        <v>1</v>
      </c>
      <c r="T113" s="2" t="s">
        <v>570</v>
      </c>
      <c r="U113" s="2" t="s">
        <v>34</v>
      </c>
    </row>
    <row r="114" spans="1:21" ht="90" x14ac:dyDescent="0.25">
      <c r="A114" s="2">
        <v>8</v>
      </c>
      <c r="B114" s="2" t="s">
        <v>604</v>
      </c>
      <c r="C114" s="2" t="s">
        <v>56</v>
      </c>
      <c r="D114" s="2" t="s">
        <v>36</v>
      </c>
      <c r="E114" s="2" t="s">
        <v>37</v>
      </c>
      <c r="F114" s="2" t="s">
        <v>59</v>
      </c>
      <c r="G114" s="2">
        <f>91-22-61509300</f>
        <v>-61509231</v>
      </c>
      <c r="H114" s="3" t="s">
        <v>605</v>
      </c>
      <c r="I114" s="3" t="s">
        <v>606</v>
      </c>
      <c r="J114" s="2" t="s">
        <v>607</v>
      </c>
      <c r="K114" s="2"/>
      <c r="L114" s="2" t="s">
        <v>422</v>
      </c>
      <c r="M114" s="2" t="s">
        <v>608</v>
      </c>
      <c r="N114" s="2"/>
      <c r="O114" s="2"/>
      <c r="P114" s="2" t="s">
        <v>31</v>
      </c>
      <c r="Q114" s="4">
        <v>45980</v>
      </c>
      <c r="R114" s="2" t="s">
        <v>609</v>
      </c>
      <c r="S114" s="2">
        <v>1</v>
      </c>
      <c r="T114" s="2" t="s">
        <v>570</v>
      </c>
      <c r="U114" s="2" t="s">
        <v>34</v>
      </c>
    </row>
    <row r="115" spans="1:21" ht="105" x14ac:dyDescent="0.25">
      <c r="A115" s="2">
        <v>8</v>
      </c>
      <c r="B115" s="2" t="s">
        <v>610</v>
      </c>
      <c r="C115" s="2" t="s">
        <v>56</v>
      </c>
      <c r="D115" s="2" t="s">
        <v>36</v>
      </c>
      <c r="E115" s="2" t="s">
        <v>611</v>
      </c>
      <c r="F115" s="2" t="s">
        <v>49</v>
      </c>
      <c r="G115" s="2">
        <f>91-2185-222222</f>
        <v>-224316</v>
      </c>
      <c r="H115" s="3" t="s">
        <v>612</v>
      </c>
      <c r="I115" s="2"/>
      <c r="J115" s="2" t="s">
        <v>613</v>
      </c>
      <c r="K115" s="2"/>
      <c r="L115" s="2" t="s">
        <v>422</v>
      </c>
      <c r="M115" s="2" t="s">
        <v>614</v>
      </c>
      <c r="N115" s="2"/>
      <c r="O115" s="2"/>
      <c r="P115" s="2" t="s">
        <v>31</v>
      </c>
      <c r="Q115" s="4">
        <v>45980</v>
      </c>
      <c r="R115" s="2" t="s">
        <v>615</v>
      </c>
      <c r="S115" s="2">
        <v>1</v>
      </c>
      <c r="T115" s="2" t="s">
        <v>570</v>
      </c>
      <c r="U115" s="2" t="s">
        <v>34</v>
      </c>
    </row>
    <row r="116" spans="1:21" ht="90" x14ac:dyDescent="0.25">
      <c r="A116" s="2">
        <v>8</v>
      </c>
      <c r="B116" s="2" t="s">
        <v>616</v>
      </c>
      <c r="C116" s="2" t="s">
        <v>56</v>
      </c>
      <c r="D116" s="2" t="s">
        <v>36</v>
      </c>
      <c r="E116" s="2" t="s">
        <v>498</v>
      </c>
      <c r="F116" s="2" t="s">
        <v>59</v>
      </c>
      <c r="G116" s="2">
        <f>91-257-2251081</f>
        <v>-2251247</v>
      </c>
      <c r="H116" s="3" t="s">
        <v>617</v>
      </c>
      <c r="I116" s="3" t="s">
        <v>618</v>
      </c>
      <c r="J116" s="2" t="s">
        <v>619</v>
      </c>
      <c r="K116" s="2"/>
      <c r="L116" s="2" t="s">
        <v>422</v>
      </c>
      <c r="M116" s="2" t="s">
        <v>620</v>
      </c>
      <c r="N116" s="2"/>
      <c r="O116" s="2"/>
      <c r="P116" s="2" t="s">
        <v>31</v>
      </c>
      <c r="Q116" s="4">
        <v>45980</v>
      </c>
      <c r="R116" s="2" t="s">
        <v>621</v>
      </c>
      <c r="S116" s="2">
        <v>1</v>
      </c>
      <c r="T116" s="2" t="s">
        <v>570</v>
      </c>
      <c r="U116" s="2" t="s">
        <v>34</v>
      </c>
    </row>
    <row r="117" spans="1:21" ht="90" x14ac:dyDescent="0.25">
      <c r="A117" s="2">
        <v>8</v>
      </c>
      <c r="B117" s="2" t="s">
        <v>622</v>
      </c>
      <c r="C117" s="2" t="s">
        <v>623</v>
      </c>
      <c r="D117" s="2" t="s">
        <v>36</v>
      </c>
      <c r="E117" s="2" t="s">
        <v>624</v>
      </c>
      <c r="F117" s="2" t="s">
        <v>25</v>
      </c>
      <c r="G117" s="2">
        <f>91-2363-257888</f>
        <v>-260160</v>
      </c>
      <c r="H117" s="2"/>
      <c r="I117" s="2"/>
      <c r="J117" s="2" t="s">
        <v>625</v>
      </c>
      <c r="K117" s="2"/>
      <c r="L117" s="2" t="s">
        <v>626</v>
      </c>
      <c r="M117" s="2"/>
      <c r="N117" s="2"/>
      <c r="O117" s="2"/>
      <c r="P117" s="2" t="s">
        <v>31</v>
      </c>
      <c r="Q117" s="4">
        <v>45980</v>
      </c>
      <c r="R117" s="2"/>
      <c r="S117" s="2">
        <v>1</v>
      </c>
      <c r="T117" s="2" t="s">
        <v>570</v>
      </c>
      <c r="U117" s="2" t="s">
        <v>34</v>
      </c>
    </row>
    <row r="118" spans="1:21" ht="75" x14ac:dyDescent="0.25">
      <c r="A118" s="2">
        <v>8</v>
      </c>
      <c r="B118" s="2" t="s">
        <v>627</v>
      </c>
      <c r="C118" s="2" t="s">
        <v>623</v>
      </c>
      <c r="D118" s="2" t="s">
        <v>36</v>
      </c>
      <c r="E118" s="2" t="s">
        <v>628</v>
      </c>
      <c r="F118" s="2" t="s">
        <v>25</v>
      </c>
      <c r="G118" s="2">
        <f>91-2352-228888</f>
        <v>-231149</v>
      </c>
      <c r="H118" s="2"/>
      <c r="I118" s="2"/>
      <c r="J118" s="2" t="s">
        <v>628</v>
      </c>
      <c r="K118" s="2"/>
      <c r="L118" s="2" t="s">
        <v>629</v>
      </c>
      <c r="M118" s="2"/>
      <c r="N118" s="2"/>
      <c r="O118" s="2"/>
      <c r="P118" s="2" t="s">
        <v>31</v>
      </c>
      <c r="Q118" s="4">
        <v>45980</v>
      </c>
      <c r="R118" s="2"/>
      <c r="S118" s="2">
        <v>1</v>
      </c>
      <c r="T118" s="2" t="s">
        <v>570</v>
      </c>
      <c r="U118" s="2" t="s">
        <v>34</v>
      </c>
    </row>
    <row r="119" spans="1:21" ht="75" x14ac:dyDescent="0.25">
      <c r="A119" s="2">
        <v>8</v>
      </c>
      <c r="B119" s="2" t="s">
        <v>630</v>
      </c>
      <c r="C119" s="2" t="s">
        <v>56</v>
      </c>
      <c r="D119" s="2" t="s">
        <v>102</v>
      </c>
      <c r="E119" s="2" t="s">
        <v>631</v>
      </c>
      <c r="F119" s="2" t="s">
        <v>49</v>
      </c>
      <c r="G119" s="2">
        <f>91-452-2533777</f>
        <v>-2534138</v>
      </c>
      <c r="H119" s="3" t="s">
        <v>632</v>
      </c>
      <c r="I119" s="3" t="s">
        <v>633</v>
      </c>
      <c r="J119" s="2" t="s">
        <v>634</v>
      </c>
      <c r="K119" s="2"/>
      <c r="L119" s="2" t="s">
        <v>422</v>
      </c>
      <c r="M119" s="2" t="s">
        <v>635</v>
      </c>
      <c r="N119" s="2"/>
      <c r="O119" s="2"/>
      <c r="P119" s="2" t="s">
        <v>31</v>
      </c>
      <c r="Q119" s="4">
        <v>45980</v>
      </c>
      <c r="R119" s="2" t="s">
        <v>636</v>
      </c>
      <c r="S119" s="2">
        <v>1</v>
      </c>
      <c r="T119" s="2" t="s">
        <v>570</v>
      </c>
      <c r="U119" s="2" t="s">
        <v>34</v>
      </c>
    </row>
    <row r="120" spans="1:2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60" x14ac:dyDescent="0.25">
      <c r="A121" s="2">
        <v>8</v>
      </c>
      <c r="B121" s="2" t="s">
        <v>637</v>
      </c>
      <c r="C121" s="2" t="s">
        <v>56</v>
      </c>
      <c r="D121" s="2" t="s">
        <v>102</v>
      </c>
      <c r="E121" s="2" t="s">
        <v>638</v>
      </c>
      <c r="F121" s="2" t="s">
        <v>49</v>
      </c>
      <c r="G121" s="2">
        <f>91-4546-254444</f>
        <v>-258899</v>
      </c>
      <c r="H121" s="2"/>
      <c r="I121" s="2"/>
      <c r="J121" s="2" t="s">
        <v>639</v>
      </c>
      <c r="K121" s="2"/>
      <c r="L121" s="2" t="s">
        <v>422</v>
      </c>
      <c r="M121" s="2" t="s">
        <v>640</v>
      </c>
      <c r="N121" s="2"/>
      <c r="O121" s="2"/>
      <c r="P121" s="2" t="s">
        <v>31</v>
      </c>
      <c r="Q121" s="4">
        <v>45980</v>
      </c>
      <c r="R121" s="2" t="s">
        <v>641</v>
      </c>
      <c r="S121" s="2">
        <v>1</v>
      </c>
      <c r="T121" s="2" t="s">
        <v>570</v>
      </c>
      <c r="U121" s="2" t="s">
        <v>34</v>
      </c>
    </row>
    <row r="122" spans="1:21" ht="105" x14ac:dyDescent="0.25">
      <c r="A122" s="2">
        <v>8</v>
      </c>
      <c r="B122" s="2" t="s">
        <v>642</v>
      </c>
      <c r="C122" s="2" t="s">
        <v>315</v>
      </c>
      <c r="D122" s="2" t="s">
        <v>153</v>
      </c>
      <c r="E122" s="2" t="s">
        <v>355</v>
      </c>
      <c r="F122" s="2" t="s">
        <v>59</v>
      </c>
      <c r="G122" s="2">
        <f>91-79-40083333</f>
        <v>-40083321</v>
      </c>
      <c r="H122" s="3" t="s">
        <v>643</v>
      </c>
      <c r="I122" s="3" t="s">
        <v>644</v>
      </c>
      <c r="J122" s="2" t="s">
        <v>645</v>
      </c>
      <c r="K122" s="2"/>
      <c r="L122" s="2" t="s">
        <v>646</v>
      </c>
      <c r="M122" s="2"/>
      <c r="N122" s="2"/>
      <c r="O122" s="2"/>
      <c r="P122" s="2" t="s">
        <v>31</v>
      </c>
      <c r="Q122" s="4">
        <v>45980</v>
      </c>
      <c r="R122" s="2"/>
      <c r="S122" s="2">
        <v>1</v>
      </c>
      <c r="T122" s="2" t="s">
        <v>570</v>
      </c>
      <c r="U122" s="2" t="s">
        <v>34</v>
      </c>
    </row>
    <row r="123" spans="1:21" ht="75" x14ac:dyDescent="0.25">
      <c r="A123" s="2">
        <v>8</v>
      </c>
      <c r="B123" s="2" t="s">
        <v>647</v>
      </c>
      <c r="C123" s="2" t="s">
        <v>315</v>
      </c>
      <c r="D123" s="2" t="s">
        <v>36</v>
      </c>
      <c r="E123" s="2" t="s">
        <v>37</v>
      </c>
      <c r="F123" s="2" t="s">
        <v>59</v>
      </c>
      <c r="G123" s="2">
        <f>91-22-40766700</f>
        <v>-40766631</v>
      </c>
      <c r="H123" s="3" t="s">
        <v>648</v>
      </c>
      <c r="I123" s="3" t="s">
        <v>649</v>
      </c>
      <c r="J123" s="2" t="s">
        <v>650</v>
      </c>
      <c r="K123" s="2"/>
      <c r="L123" s="2" t="s">
        <v>651</v>
      </c>
      <c r="M123" s="2"/>
      <c r="N123" s="2"/>
      <c r="O123" s="2"/>
      <c r="P123" s="2" t="s">
        <v>31</v>
      </c>
      <c r="Q123" s="4">
        <v>45980</v>
      </c>
      <c r="R123" s="2"/>
      <c r="S123" s="2">
        <v>1</v>
      </c>
      <c r="T123" s="2" t="s">
        <v>570</v>
      </c>
      <c r="U123" s="2" t="s">
        <v>34</v>
      </c>
    </row>
    <row r="124" spans="1:21" ht="90" x14ac:dyDescent="0.25">
      <c r="A124" s="2">
        <v>8</v>
      </c>
      <c r="B124" s="2" t="s">
        <v>652</v>
      </c>
      <c r="C124" s="2" t="s">
        <v>22</v>
      </c>
      <c r="D124" s="2" t="s">
        <v>36</v>
      </c>
      <c r="E124" s="2" t="s">
        <v>484</v>
      </c>
      <c r="F124" s="2" t="s">
        <v>476</v>
      </c>
      <c r="G124" s="2">
        <f>91-253-2512345</f>
        <v>-2512507</v>
      </c>
      <c r="H124" s="2"/>
      <c r="I124" s="2"/>
      <c r="J124" s="2" t="s">
        <v>535</v>
      </c>
      <c r="K124" s="2"/>
      <c r="L124" s="2" t="s">
        <v>653</v>
      </c>
      <c r="M124" s="2"/>
      <c r="N124" s="2"/>
      <c r="O124" s="2"/>
      <c r="P124" s="2" t="s">
        <v>31</v>
      </c>
      <c r="Q124" s="4">
        <v>45980</v>
      </c>
      <c r="R124" s="2"/>
      <c r="S124" s="2">
        <v>1</v>
      </c>
      <c r="T124" s="2" t="s">
        <v>570</v>
      </c>
      <c r="U124" s="2" t="s">
        <v>34</v>
      </c>
    </row>
    <row r="125" spans="1:21" ht="60" x14ac:dyDescent="0.25">
      <c r="A125" s="2">
        <v>8</v>
      </c>
      <c r="B125" s="2" t="s">
        <v>654</v>
      </c>
      <c r="C125" s="2" t="s">
        <v>426</v>
      </c>
      <c r="D125" s="2" t="s">
        <v>36</v>
      </c>
      <c r="E125" s="2" t="s">
        <v>611</v>
      </c>
      <c r="F125" s="2" t="s">
        <v>655</v>
      </c>
      <c r="G125" s="2">
        <f>91-217-2600123</f>
        <v>-2600249</v>
      </c>
      <c r="H125" s="2"/>
      <c r="I125" s="2"/>
      <c r="J125" s="2" t="s">
        <v>611</v>
      </c>
      <c r="K125" s="2"/>
      <c r="L125" s="2" t="s">
        <v>656</v>
      </c>
      <c r="M125" s="2"/>
      <c r="N125" s="2"/>
      <c r="O125" s="2"/>
      <c r="P125" s="2" t="s">
        <v>31</v>
      </c>
      <c r="Q125" s="4">
        <v>45980</v>
      </c>
      <c r="R125" s="2"/>
      <c r="S125" s="2">
        <v>1</v>
      </c>
      <c r="T125" s="2" t="s">
        <v>570</v>
      </c>
      <c r="U125" s="2" t="s">
        <v>34</v>
      </c>
    </row>
    <row r="126" spans="1:21" ht="120" x14ac:dyDescent="0.25">
      <c r="A126" s="2">
        <v>8</v>
      </c>
      <c r="B126" s="2" t="s">
        <v>657</v>
      </c>
      <c r="C126" s="2" t="s">
        <v>119</v>
      </c>
      <c r="D126" s="2" t="s">
        <v>36</v>
      </c>
      <c r="E126" s="2" t="s">
        <v>95</v>
      </c>
      <c r="F126" s="2" t="s">
        <v>49</v>
      </c>
      <c r="G126" s="2">
        <f>91-20-26956000</f>
        <v>-26955929</v>
      </c>
      <c r="H126" s="3" t="s">
        <v>658</v>
      </c>
      <c r="I126" s="3" t="s">
        <v>659</v>
      </c>
      <c r="J126" s="2" t="s">
        <v>660</v>
      </c>
      <c r="K126" s="2"/>
      <c r="L126" s="2" t="s">
        <v>661</v>
      </c>
      <c r="M126" s="2"/>
      <c r="N126" s="2"/>
      <c r="O126" s="2"/>
      <c r="P126" s="2" t="s">
        <v>31</v>
      </c>
      <c r="Q126" s="4">
        <v>45980</v>
      </c>
      <c r="R126" s="2"/>
      <c r="S126" s="2">
        <v>1</v>
      </c>
      <c r="T126" s="2" t="s">
        <v>570</v>
      </c>
      <c r="U126" s="2" t="s">
        <v>34</v>
      </c>
    </row>
    <row r="127" spans="1:21" ht="105" x14ac:dyDescent="0.25">
      <c r="A127" s="2">
        <v>8</v>
      </c>
      <c r="B127" s="2" t="s">
        <v>662</v>
      </c>
      <c r="C127" s="2" t="s">
        <v>119</v>
      </c>
      <c r="D127" s="2" t="s">
        <v>36</v>
      </c>
      <c r="E127" s="2" t="s">
        <v>611</v>
      </c>
      <c r="F127" s="2" t="s">
        <v>49</v>
      </c>
      <c r="G127" s="2">
        <f>91-217-2350075</f>
        <v>-2350201</v>
      </c>
      <c r="H127" s="3" t="s">
        <v>663</v>
      </c>
      <c r="I127" s="3" t="s">
        <v>664</v>
      </c>
      <c r="J127" s="2" t="s">
        <v>665</v>
      </c>
      <c r="K127" s="2"/>
      <c r="L127" s="2" t="s">
        <v>666</v>
      </c>
      <c r="M127" s="2"/>
      <c r="N127" s="2"/>
      <c r="O127" s="2"/>
      <c r="P127" s="2" t="s">
        <v>31</v>
      </c>
      <c r="Q127" s="4">
        <v>45980</v>
      </c>
      <c r="R127" s="2"/>
      <c r="S127" s="2">
        <v>1</v>
      </c>
      <c r="T127" s="2" t="s">
        <v>570</v>
      </c>
      <c r="U127" s="2" t="s">
        <v>34</v>
      </c>
    </row>
    <row r="128" spans="1:21" ht="45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  <c r="O128" s="1" t="s">
        <v>14</v>
      </c>
      <c r="P128" s="1" t="s">
        <v>15</v>
      </c>
      <c r="Q128" s="1" t="s">
        <v>16</v>
      </c>
      <c r="R128" s="1" t="s">
        <v>17</v>
      </c>
      <c r="S128" s="1" t="s">
        <v>18</v>
      </c>
      <c r="T128" s="1" t="s">
        <v>19</v>
      </c>
      <c r="U128" s="1" t="s">
        <v>20</v>
      </c>
    </row>
    <row r="129" spans="1:21" ht="180" x14ac:dyDescent="0.25">
      <c r="A129" s="2">
        <v>9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>
        <f>91-11-26514044</f>
        <v>-26513964</v>
      </c>
      <c r="H129" s="3" t="s">
        <v>26</v>
      </c>
      <c r="I129" s="3" t="s">
        <v>27</v>
      </c>
      <c r="J129" s="2" t="s">
        <v>406</v>
      </c>
      <c r="K129" s="2"/>
      <c r="L129" s="2"/>
      <c r="M129" s="2" t="s">
        <v>667</v>
      </c>
      <c r="N129" s="2"/>
      <c r="O129" s="2"/>
      <c r="P129" s="2" t="s">
        <v>31</v>
      </c>
      <c r="Q129" s="4">
        <v>45980</v>
      </c>
      <c r="R129" s="2" t="s">
        <v>668</v>
      </c>
      <c r="S129" s="2">
        <v>1</v>
      </c>
      <c r="T129" s="2" t="s">
        <v>669</v>
      </c>
      <c r="U129" s="2" t="s">
        <v>34</v>
      </c>
    </row>
    <row r="130" spans="1:21" ht="135" x14ac:dyDescent="0.25">
      <c r="A130" s="2">
        <v>9</v>
      </c>
      <c r="B130" s="2" t="s">
        <v>670</v>
      </c>
      <c r="C130" s="2" t="s">
        <v>233</v>
      </c>
      <c r="D130" s="2" t="s">
        <v>126</v>
      </c>
      <c r="E130" s="2" t="s">
        <v>127</v>
      </c>
      <c r="F130" s="2" t="s">
        <v>671</v>
      </c>
      <c r="G130" s="2">
        <f>91-484-2333610</f>
        <v>-2334003</v>
      </c>
      <c r="H130" s="3" t="s">
        <v>672</v>
      </c>
      <c r="I130" s="3" t="s">
        <v>673</v>
      </c>
      <c r="J130" s="2" t="s">
        <v>674</v>
      </c>
      <c r="K130" s="2"/>
      <c r="L130" s="2" t="s">
        <v>675</v>
      </c>
      <c r="M130" s="2"/>
      <c r="N130" s="2"/>
      <c r="O130" s="2"/>
      <c r="P130" s="2" t="s">
        <v>31</v>
      </c>
      <c r="Q130" s="4">
        <v>45980</v>
      </c>
      <c r="R130" s="2" t="s">
        <v>676</v>
      </c>
      <c r="S130" s="2">
        <v>1</v>
      </c>
      <c r="T130" s="2" t="s">
        <v>669</v>
      </c>
      <c r="U130" s="2" t="s">
        <v>34</v>
      </c>
    </row>
    <row r="131" spans="1:21" ht="105" x14ac:dyDescent="0.25">
      <c r="A131" s="2">
        <v>9</v>
      </c>
      <c r="B131" s="2" t="s">
        <v>677</v>
      </c>
      <c r="C131" s="2" t="s">
        <v>233</v>
      </c>
      <c r="D131" s="2" t="s">
        <v>36</v>
      </c>
      <c r="E131" s="2" t="s">
        <v>526</v>
      </c>
      <c r="F131" s="2" t="s">
        <v>678</v>
      </c>
      <c r="G131" s="2">
        <f>91-22-22024067</f>
        <v>-22023998</v>
      </c>
      <c r="H131" s="3" t="s">
        <v>679</v>
      </c>
      <c r="I131" s="3" t="s">
        <v>673</v>
      </c>
      <c r="J131" s="2" t="s">
        <v>680</v>
      </c>
      <c r="K131" s="2"/>
      <c r="L131" s="2"/>
      <c r="M131" s="2"/>
      <c r="N131" s="2"/>
      <c r="O131" s="2"/>
      <c r="P131" s="2" t="s">
        <v>31</v>
      </c>
      <c r="Q131" s="4">
        <v>45980</v>
      </c>
      <c r="R131" s="2"/>
      <c r="S131" s="2">
        <v>1</v>
      </c>
      <c r="T131" s="2" t="s">
        <v>669</v>
      </c>
      <c r="U131" s="2" t="s">
        <v>34</v>
      </c>
    </row>
    <row r="132" spans="1:21" ht="75" x14ac:dyDescent="0.25">
      <c r="A132" s="2">
        <v>9</v>
      </c>
      <c r="B132" s="2" t="s">
        <v>681</v>
      </c>
      <c r="C132" s="2" t="s">
        <v>233</v>
      </c>
      <c r="D132" s="2" t="s">
        <v>135</v>
      </c>
      <c r="E132" s="2" t="s">
        <v>682</v>
      </c>
      <c r="F132" s="2" t="s">
        <v>678</v>
      </c>
      <c r="G132" s="2">
        <f>91-863-2336205</f>
        <v>-2336977</v>
      </c>
      <c r="H132" s="3" t="s">
        <v>683</v>
      </c>
      <c r="I132" s="3" t="s">
        <v>673</v>
      </c>
      <c r="J132" s="2" t="s">
        <v>682</v>
      </c>
      <c r="K132" s="2"/>
      <c r="L132" s="2" t="s">
        <v>684</v>
      </c>
      <c r="M132" s="2"/>
      <c r="N132" s="2"/>
      <c r="O132" s="2"/>
      <c r="P132" s="2" t="s">
        <v>31</v>
      </c>
      <c r="Q132" s="4">
        <v>45980</v>
      </c>
      <c r="R132" s="2"/>
      <c r="S132" s="2">
        <v>1</v>
      </c>
      <c r="T132" s="2" t="s">
        <v>669</v>
      </c>
      <c r="U132" s="2" t="s">
        <v>34</v>
      </c>
    </row>
    <row r="133" spans="1:21" ht="75" x14ac:dyDescent="0.25">
      <c r="A133" s="2">
        <v>9</v>
      </c>
      <c r="B133" s="2" t="s">
        <v>685</v>
      </c>
      <c r="C133" s="2" t="s">
        <v>233</v>
      </c>
      <c r="D133" s="2" t="s">
        <v>126</v>
      </c>
      <c r="E133" s="2" t="s">
        <v>127</v>
      </c>
      <c r="F133" s="2" t="s">
        <v>686</v>
      </c>
      <c r="G133" s="2">
        <f>91-484-2333604</f>
        <v>-2333997</v>
      </c>
      <c r="H133" s="3" t="s">
        <v>687</v>
      </c>
      <c r="I133" s="3" t="s">
        <v>673</v>
      </c>
      <c r="J133" s="2" t="s">
        <v>688</v>
      </c>
      <c r="K133" s="2"/>
      <c r="L133" s="2" t="s">
        <v>689</v>
      </c>
      <c r="M133" s="2"/>
      <c r="N133" s="2"/>
      <c r="O133" s="2"/>
      <c r="P133" s="2" t="s">
        <v>31</v>
      </c>
      <c r="Q133" s="4">
        <v>45980</v>
      </c>
      <c r="R133" s="2"/>
      <c r="S133" s="2">
        <v>1</v>
      </c>
      <c r="T133" s="2" t="s">
        <v>669</v>
      </c>
      <c r="U133" s="2" t="s">
        <v>34</v>
      </c>
    </row>
    <row r="134" spans="1:21" ht="90" x14ac:dyDescent="0.25">
      <c r="A134" s="2">
        <v>9</v>
      </c>
      <c r="B134" s="2" t="s">
        <v>690</v>
      </c>
      <c r="C134" s="2" t="s">
        <v>56</v>
      </c>
      <c r="D134" s="2" t="s">
        <v>126</v>
      </c>
      <c r="E134" s="2" t="s">
        <v>127</v>
      </c>
      <c r="F134" s="2" t="s">
        <v>59</v>
      </c>
      <c r="G134" s="2">
        <f>91-484-3055000</f>
        <v>-3055393</v>
      </c>
      <c r="H134" s="3" t="s">
        <v>691</v>
      </c>
      <c r="I134" s="3" t="s">
        <v>692</v>
      </c>
      <c r="J134" s="2" t="s">
        <v>693</v>
      </c>
      <c r="K134" s="2"/>
      <c r="L134" s="2" t="s">
        <v>694</v>
      </c>
      <c r="M134" s="2" t="s">
        <v>695</v>
      </c>
      <c r="N134" s="2"/>
      <c r="O134" s="2"/>
      <c r="P134" s="2" t="s">
        <v>31</v>
      </c>
      <c r="Q134" s="4">
        <v>45971</v>
      </c>
      <c r="R134" s="2" t="s">
        <v>696</v>
      </c>
      <c r="S134" s="2">
        <v>1</v>
      </c>
      <c r="T134" s="2" t="s">
        <v>669</v>
      </c>
      <c r="U134" s="2" t="s">
        <v>34</v>
      </c>
    </row>
    <row r="135" spans="1:21" ht="90" x14ac:dyDescent="0.25">
      <c r="A135" s="2">
        <v>9</v>
      </c>
      <c r="B135" s="2" t="s">
        <v>697</v>
      </c>
      <c r="C135" s="2" t="s">
        <v>56</v>
      </c>
      <c r="D135" s="2" t="s">
        <v>126</v>
      </c>
      <c r="E135" s="2" t="s">
        <v>127</v>
      </c>
      <c r="F135" s="2" t="s">
        <v>59</v>
      </c>
      <c r="G135" s="2">
        <f>91-484-3051500</f>
        <v>-3051893</v>
      </c>
      <c r="H135" s="3" t="s">
        <v>698</v>
      </c>
      <c r="I135" s="3" t="s">
        <v>699</v>
      </c>
      <c r="J135" s="2" t="s">
        <v>700</v>
      </c>
      <c r="K135" s="2"/>
      <c r="L135" s="2" t="s">
        <v>701</v>
      </c>
      <c r="M135" s="2"/>
      <c r="N135" s="2"/>
      <c r="O135" s="2"/>
      <c r="P135" s="2" t="s">
        <v>31</v>
      </c>
      <c r="Q135" s="4">
        <v>45971</v>
      </c>
      <c r="R135" s="2" t="s">
        <v>702</v>
      </c>
      <c r="S135" s="2">
        <v>1</v>
      </c>
      <c r="T135" s="2" t="s">
        <v>669</v>
      </c>
      <c r="U135" s="2" t="s">
        <v>34</v>
      </c>
    </row>
    <row r="136" spans="1:21" ht="75" x14ac:dyDescent="0.25">
      <c r="A136" s="2">
        <v>9</v>
      </c>
      <c r="B136" s="2" t="s">
        <v>703</v>
      </c>
      <c r="C136" s="2" t="s">
        <v>56</v>
      </c>
      <c r="D136" s="2" t="s">
        <v>126</v>
      </c>
      <c r="E136" s="2" t="s">
        <v>127</v>
      </c>
      <c r="F136" s="2" t="s">
        <v>59</v>
      </c>
      <c r="G136" s="2">
        <f>91-484-2651444</f>
        <v>-2651837</v>
      </c>
      <c r="H136" s="3" t="s">
        <v>704</v>
      </c>
      <c r="I136" s="3" t="s">
        <v>705</v>
      </c>
      <c r="J136" s="2" t="s">
        <v>706</v>
      </c>
      <c r="K136" s="2"/>
      <c r="L136" s="2" t="s">
        <v>707</v>
      </c>
      <c r="M136" s="2"/>
      <c r="N136" s="2"/>
      <c r="O136" s="2"/>
      <c r="P136" s="2" t="s">
        <v>31</v>
      </c>
      <c r="Q136" s="4">
        <v>45971</v>
      </c>
      <c r="R136" s="2"/>
      <c r="S136" s="2">
        <v>1</v>
      </c>
      <c r="T136" s="2" t="s">
        <v>669</v>
      </c>
      <c r="U136" s="2" t="s">
        <v>34</v>
      </c>
    </row>
    <row r="137" spans="1:21" ht="75" x14ac:dyDescent="0.25">
      <c r="A137" s="2">
        <v>9</v>
      </c>
      <c r="B137" s="2" t="s">
        <v>708</v>
      </c>
      <c r="C137" s="2" t="s">
        <v>56</v>
      </c>
      <c r="D137" s="2" t="s">
        <v>126</v>
      </c>
      <c r="E137" s="2" t="s">
        <v>127</v>
      </c>
      <c r="F137" s="2" t="s">
        <v>59</v>
      </c>
      <c r="G137" s="2">
        <f>91-484-3001100</f>
        <v>-3001493</v>
      </c>
      <c r="H137" s="3" t="s">
        <v>709</v>
      </c>
      <c r="I137" s="3" t="s">
        <v>710</v>
      </c>
      <c r="J137" s="2" t="s">
        <v>711</v>
      </c>
      <c r="K137" s="2"/>
      <c r="L137" s="2" t="s">
        <v>712</v>
      </c>
      <c r="M137" s="2"/>
      <c r="N137" s="2"/>
      <c r="O137" s="2"/>
      <c r="P137" s="2" t="s">
        <v>31</v>
      </c>
      <c r="Q137" s="4">
        <v>45971</v>
      </c>
      <c r="R137" s="2" t="s">
        <v>713</v>
      </c>
      <c r="S137" s="2">
        <v>1</v>
      </c>
      <c r="T137" s="2" t="s">
        <v>669</v>
      </c>
      <c r="U137" s="2" t="s">
        <v>34</v>
      </c>
    </row>
    <row r="138" spans="1:21" ht="60" x14ac:dyDescent="0.25">
      <c r="A138" s="2">
        <v>9</v>
      </c>
      <c r="B138" s="2" t="s">
        <v>714</v>
      </c>
      <c r="C138" s="2" t="s">
        <v>56</v>
      </c>
      <c r="D138" s="2" t="s">
        <v>102</v>
      </c>
      <c r="E138" s="2" t="s">
        <v>715</v>
      </c>
      <c r="F138" s="2" t="s">
        <v>59</v>
      </c>
      <c r="G138" s="2">
        <f>91-424-2256777</f>
        <v>-2257110</v>
      </c>
      <c r="H138" s="3" t="s">
        <v>716</v>
      </c>
      <c r="I138" s="3" t="s">
        <v>717</v>
      </c>
      <c r="J138" s="2" t="s">
        <v>715</v>
      </c>
      <c r="K138" s="2"/>
      <c r="L138" s="2" t="s">
        <v>718</v>
      </c>
      <c r="M138" s="2"/>
      <c r="N138" s="2"/>
      <c r="O138" s="2"/>
      <c r="P138" s="2" t="s">
        <v>31</v>
      </c>
      <c r="Q138" s="4">
        <v>45971</v>
      </c>
      <c r="R138" s="2"/>
      <c r="S138" s="2">
        <v>1</v>
      </c>
      <c r="T138" s="2" t="s">
        <v>669</v>
      </c>
      <c r="U138" s="2" t="s">
        <v>34</v>
      </c>
    </row>
    <row r="139" spans="1:21" ht="60" x14ac:dyDescent="0.25">
      <c r="A139" s="2">
        <v>9</v>
      </c>
      <c r="B139" s="2" t="s">
        <v>719</v>
      </c>
      <c r="C139" s="2" t="s">
        <v>56</v>
      </c>
      <c r="D139" s="2" t="s">
        <v>36</v>
      </c>
      <c r="E139" s="2" t="s">
        <v>526</v>
      </c>
      <c r="F139" s="2" t="s">
        <v>49</v>
      </c>
      <c r="G139" s="2">
        <f>91-22-49612222</f>
        <v>-49612153</v>
      </c>
      <c r="H139" s="3" t="s">
        <v>720</v>
      </c>
      <c r="I139" s="3" t="s">
        <v>721</v>
      </c>
      <c r="J139" s="2" t="s">
        <v>722</v>
      </c>
      <c r="K139" s="2"/>
      <c r="L139" s="2" t="s">
        <v>723</v>
      </c>
      <c r="M139" s="2"/>
      <c r="N139" s="2"/>
      <c r="O139" s="2"/>
      <c r="P139" s="2" t="s">
        <v>31</v>
      </c>
      <c r="Q139" s="4">
        <v>45971</v>
      </c>
      <c r="R139" s="2"/>
      <c r="S139" s="2">
        <v>1</v>
      </c>
      <c r="T139" s="2" t="s">
        <v>669</v>
      </c>
      <c r="U139" s="2" t="s">
        <v>34</v>
      </c>
    </row>
    <row r="140" spans="1:21" ht="60" x14ac:dyDescent="0.25">
      <c r="A140" s="2">
        <v>9</v>
      </c>
      <c r="B140" s="2" t="s">
        <v>724</v>
      </c>
      <c r="C140" s="2" t="s">
        <v>56</v>
      </c>
      <c r="D140" s="2" t="s">
        <v>36</v>
      </c>
      <c r="E140" s="2" t="s">
        <v>526</v>
      </c>
      <c r="F140" s="2" t="s">
        <v>527</v>
      </c>
      <c r="G140" s="2">
        <f>91-22-22628000</f>
        <v>-22627931</v>
      </c>
      <c r="H140" s="3" t="s">
        <v>725</v>
      </c>
      <c r="I140" s="3" t="s">
        <v>61</v>
      </c>
      <c r="J140" s="2" t="s">
        <v>726</v>
      </c>
      <c r="K140" s="2"/>
      <c r="L140" s="2" t="s">
        <v>727</v>
      </c>
      <c r="M140" s="2"/>
      <c r="N140" s="2"/>
      <c r="O140" s="2"/>
      <c r="P140" s="2" t="s">
        <v>31</v>
      </c>
      <c r="Q140" s="4">
        <v>45971</v>
      </c>
      <c r="R140" s="2"/>
      <c r="S140" s="2">
        <v>1</v>
      </c>
      <c r="T140" s="2" t="s">
        <v>669</v>
      </c>
      <c r="U140" s="2" t="s">
        <v>34</v>
      </c>
    </row>
    <row r="141" spans="1:21" ht="60" x14ac:dyDescent="0.25">
      <c r="A141" s="2">
        <v>9</v>
      </c>
      <c r="B141" s="2" t="s">
        <v>728</v>
      </c>
      <c r="C141" s="2" t="s">
        <v>56</v>
      </c>
      <c r="D141" s="2" t="s">
        <v>126</v>
      </c>
      <c r="E141" s="2" t="s">
        <v>127</v>
      </c>
      <c r="F141" s="2" t="s">
        <v>59</v>
      </c>
      <c r="G141" s="2">
        <f>91-484-3066100</f>
        <v>-3066493</v>
      </c>
      <c r="H141" s="3" t="s">
        <v>729</v>
      </c>
      <c r="I141" s="3" t="s">
        <v>730</v>
      </c>
      <c r="J141" s="2" t="s">
        <v>731</v>
      </c>
      <c r="K141" s="2"/>
      <c r="L141" s="2" t="s">
        <v>732</v>
      </c>
      <c r="M141" s="2"/>
      <c r="N141" s="2"/>
      <c r="O141" s="2"/>
      <c r="P141" s="2" t="s">
        <v>31</v>
      </c>
      <c r="Q141" s="4">
        <v>45971</v>
      </c>
      <c r="R141" s="2"/>
      <c r="S141" s="2">
        <v>1</v>
      </c>
      <c r="T141" s="2" t="s">
        <v>669</v>
      </c>
      <c r="U141" s="2" t="s">
        <v>34</v>
      </c>
    </row>
    <row r="142" spans="1:21" ht="60" x14ac:dyDescent="0.25">
      <c r="A142" s="2">
        <v>9</v>
      </c>
      <c r="B142" s="2" t="s">
        <v>733</v>
      </c>
      <c r="C142" s="2" t="s">
        <v>426</v>
      </c>
      <c r="D142" s="2" t="s">
        <v>135</v>
      </c>
      <c r="E142" s="2" t="s">
        <v>682</v>
      </c>
      <c r="F142" s="2" t="s">
        <v>541</v>
      </c>
      <c r="G142" s="2">
        <f>91-863-2351234</f>
        <v>-2352006</v>
      </c>
      <c r="H142" s="2"/>
      <c r="I142" s="2"/>
      <c r="J142" s="2" t="s">
        <v>682</v>
      </c>
      <c r="K142" s="2"/>
      <c r="L142" s="2" t="s">
        <v>734</v>
      </c>
      <c r="M142" s="2"/>
      <c r="N142" s="2"/>
      <c r="O142" s="2"/>
      <c r="P142" s="2" t="s">
        <v>31</v>
      </c>
      <c r="Q142" s="4">
        <v>45980</v>
      </c>
      <c r="R142" s="2"/>
      <c r="S142" s="2">
        <v>1</v>
      </c>
      <c r="T142" s="2" t="s">
        <v>669</v>
      </c>
      <c r="U142" s="2" t="s">
        <v>34</v>
      </c>
    </row>
    <row r="143" spans="1:21" ht="60" x14ac:dyDescent="0.25">
      <c r="A143" s="2">
        <v>9</v>
      </c>
      <c r="B143" s="2" t="s">
        <v>735</v>
      </c>
      <c r="C143" s="2" t="s">
        <v>426</v>
      </c>
      <c r="D143" s="2" t="s">
        <v>126</v>
      </c>
      <c r="E143" s="2" t="s">
        <v>736</v>
      </c>
      <c r="F143" s="2" t="s">
        <v>655</v>
      </c>
      <c r="G143" s="2">
        <f>91-4868-222345</f>
        <v>-227122</v>
      </c>
      <c r="H143" s="2"/>
      <c r="I143" s="2"/>
      <c r="J143" s="2" t="s">
        <v>736</v>
      </c>
      <c r="K143" s="2"/>
      <c r="L143" s="2" t="s">
        <v>737</v>
      </c>
      <c r="M143" s="2"/>
      <c r="N143" s="2"/>
      <c r="O143" s="2"/>
      <c r="P143" s="2" t="s">
        <v>31</v>
      </c>
      <c r="Q143" s="4">
        <v>45980</v>
      </c>
      <c r="R143" s="2"/>
      <c r="S143" s="2">
        <v>1</v>
      </c>
      <c r="T143" s="2" t="s">
        <v>669</v>
      </c>
      <c r="U143" s="2" t="s">
        <v>34</v>
      </c>
    </row>
    <row r="144" spans="1:21" ht="60" x14ac:dyDescent="0.25">
      <c r="A144" s="2">
        <v>9</v>
      </c>
      <c r="B144" s="2" t="s">
        <v>738</v>
      </c>
      <c r="C144" s="2" t="s">
        <v>426</v>
      </c>
      <c r="D144" s="2" t="s">
        <v>126</v>
      </c>
      <c r="E144" s="2" t="s">
        <v>739</v>
      </c>
      <c r="F144" s="2" t="s">
        <v>655</v>
      </c>
      <c r="G144" s="2">
        <f>91-4936-202345</f>
        <v>-207190</v>
      </c>
      <c r="H144" s="2"/>
      <c r="I144" s="2"/>
      <c r="J144" s="2" t="s">
        <v>739</v>
      </c>
      <c r="K144" s="2"/>
      <c r="L144" s="2" t="s">
        <v>740</v>
      </c>
      <c r="M144" s="2"/>
      <c r="N144" s="2"/>
      <c r="O144" s="2"/>
      <c r="P144" s="2" t="s">
        <v>31</v>
      </c>
      <c r="Q144" s="4">
        <v>45980</v>
      </c>
      <c r="R144" s="2"/>
      <c r="S144" s="2">
        <v>1</v>
      </c>
      <c r="T144" s="2" t="s">
        <v>669</v>
      </c>
      <c r="U144" s="2" t="s">
        <v>34</v>
      </c>
    </row>
    <row r="145" spans="1:21" ht="75" x14ac:dyDescent="0.25">
      <c r="A145" s="2">
        <v>9</v>
      </c>
      <c r="B145" s="2" t="s">
        <v>741</v>
      </c>
      <c r="C145" s="2" t="s">
        <v>119</v>
      </c>
      <c r="D145" s="2" t="s">
        <v>126</v>
      </c>
      <c r="E145" s="2" t="s">
        <v>742</v>
      </c>
      <c r="F145" s="2" t="s">
        <v>49</v>
      </c>
      <c r="G145" s="2">
        <f>91-495-2731410</f>
        <v>-2731814</v>
      </c>
      <c r="H145" s="3" t="s">
        <v>743</v>
      </c>
      <c r="I145" s="3" t="s">
        <v>744</v>
      </c>
      <c r="J145" s="2" t="s">
        <v>745</v>
      </c>
      <c r="K145" s="2"/>
      <c r="L145" s="2" t="s">
        <v>746</v>
      </c>
      <c r="M145" s="2"/>
      <c r="N145" s="2"/>
      <c r="O145" s="2"/>
      <c r="P145" s="2" t="s">
        <v>31</v>
      </c>
      <c r="Q145" s="4">
        <v>45980</v>
      </c>
      <c r="R145" s="2"/>
      <c r="S145" s="2">
        <v>1</v>
      </c>
      <c r="T145" s="2" t="s">
        <v>669</v>
      </c>
      <c r="U145" s="2" t="s">
        <v>34</v>
      </c>
    </row>
    <row r="146" spans="1:21" ht="45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  <c r="G146" s="1" t="s">
        <v>6</v>
      </c>
      <c r="H146" s="1" t="s">
        <v>7</v>
      </c>
      <c r="I146" s="1" t="s">
        <v>8</v>
      </c>
      <c r="J146" s="1" t="s">
        <v>9</v>
      </c>
      <c r="K146" s="1" t="s">
        <v>10</v>
      </c>
      <c r="L146" s="1" t="s">
        <v>11</v>
      </c>
      <c r="M146" s="1" t="s">
        <v>12</v>
      </c>
      <c r="N146" s="1" t="s">
        <v>13</v>
      </c>
      <c r="O146" s="1" t="s">
        <v>14</v>
      </c>
      <c r="P146" s="1" t="s">
        <v>15</v>
      </c>
      <c r="Q146" s="1" t="s">
        <v>16</v>
      </c>
      <c r="R146" s="1" t="s">
        <v>17</v>
      </c>
      <c r="S146" s="1" t="s">
        <v>18</v>
      </c>
      <c r="T146" s="1" t="s">
        <v>19</v>
      </c>
      <c r="U146" s="1" t="s">
        <v>20</v>
      </c>
    </row>
    <row r="147" spans="1:21" ht="180" x14ac:dyDescent="0.25">
      <c r="A147" s="2">
        <v>10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>
        <f>91-11-26514044</f>
        <v>-26513964</v>
      </c>
      <c r="H147" s="3" t="s">
        <v>26</v>
      </c>
      <c r="I147" s="3" t="s">
        <v>27</v>
      </c>
      <c r="J147" s="2" t="s">
        <v>406</v>
      </c>
      <c r="K147" s="2"/>
      <c r="L147" s="2"/>
      <c r="M147" s="2" t="s">
        <v>747</v>
      </c>
      <c r="N147" s="2"/>
      <c r="O147" s="2"/>
      <c r="P147" s="2" t="s">
        <v>31</v>
      </c>
      <c r="Q147" s="4">
        <v>45981</v>
      </c>
      <c r="R147" s="2" t="s">
        <v>748</v>
      </c>
      <c r="S147" s="2">
        <v>1</v>
      </c>
      <c r="T147" s="2" t="s">
        <v>749</v>
      </c>
      <c r="U147" s="2" t="s">
        <v>34</v>
      </c>
    </row>
    <row r="148" spans="1:21" ht="90" x14ac:dyDescent="0.25">
      <c r="A148" s="2">
        <v>10</v>
      </c>
      <c r="B148" s="2" t="s">
        <v>35</v>
      </c>
      <c r="C148" s="2" t="s">
        <v>22</v>
      </c>
      <c r="D148" s="2" t="s">
        <v>36</v>
      </c>
      <c r="E148" s="2" t="s">
        <v>526</v>
      </c>
      <c r="F148" s="2" t="s">
        <v>38</v>
      </c>
      <c r="G148" s="2">
        <f>91-22-24362971</f>
        <v>-24362902</v>
      </c>
      <c r="H148" s="3" t="s">
        <v>39</v>
      </c>
      <c r="I148" s="3" t="s">
        <v>27</v>
      </c>
      <c r="J148" s="2" t="s">
        <v>750</v>
      </c>
      <c r="K148" s="2"/>
      <c r="L148" s="2"/>
      <c r="M148" s="2"/>
      <c r="N148" s="2"/>
      <c r="O148" s="2"/>
      <c r="P148" s="2" t="s">
        <v>31</v>
      </c>
      <c r="Q148" s="4">
        <v>45981</v>
      </c>
      <c r="R148" s="2"/>
      <c r="S148" s="2">
        <v>1</v>
      </c>
      <c r="T148" s="2" t="s">
        <v>749</v>
      </c>
      <c r="U148" s="2" t="s">
        <v>34</v>
      </c>
    </row>
    <row r="149" spans="1:21" ht="105" x14ac:dyDescent="0.25">
      <c r="A149" s="2">
        <v>10</v>
      </c>
      <c r="B149" s="2" t="s">
        <v>751</v>
      </c>
      <c r="C149" s="2" t="s">
        <v>22</v>
      </c>
      <c r="D149" s="2" t="s">
        <v>23</v>
      </c>
      <c r="E149" s="2" t="s">
        <v>24</v>
      </c>
      <c r="F149" s="2" t="s">
        <v>476</v>
      </c>
      <c r="G149" s="2">
        <f>91-11-23731129</f>
        <v>-23731049</v>
      </c>
      <c r="H149" s="3" t="s">
        <v>752</v>
      </c>
      <c r="I149" s="3" t="s">
        <v>753</v>
      </c>
      <c r="J149" s="2" t="s">
        <v>24</v>
      </c>
      <c r="K149" s="2"/>
      <c r="L149" s="2"/>
      <c r="M149" s="2" t="s">
        <v>754</v>
      </c>
      <c r="N149" s="2"/>
      <c r="O149" s="2"/>
      <c r="P149" s="2" t="s">
        <v>31</v>
      </c>
      <c r="Q149" s="4">
        <v>45981</v>
      </c>
      <c r="R149" s="2" t="s">
        <v>755</v>
      </c>
      <c r="S149" s="2">
        <v>1</v>
      </c>
      <c r="T149" s="2" t="s">
        <v>749</v>
      </c>
      <c r="U149" s="2" t="s">
        <v>34</v>
      </c>
    </row>
    <row r="150" spans="1:21" ht="60" x14ac:dyDescent="0.25">
      <c r="A150" s="2">
        <v>10</v>
      </c>
      <c r="B150" s="2" t="s">
        <v>756</v>
      </c>
      <c r="C150" s="2" t="s">
        <v>56</v>
      </c>
      <c r="D150" s="2" t="s">
        <v>321</v>
      </c>
      <c r="E150" s="2" t="s">
        <v>583</v>
      </c>
      <c r="F150" s="2" t="s">
        <v>59</v>
      </c>
      <c r="G150" s="2">
        <f>91-124-4821600</f>
        <v>-4821633</v>
      </c>
      <c r="H150" s="3" t="s">
        <v>757</v>
      </c>
      <c r="I150" s="3" t="s">
        <v>758</v>
      </c>
      <c r="J150" s="2" t="s">
        <v>759</v>
      </c>
      <c r="K150" s="2"/>
      <c r="L150" s="2" t="s">
        <v>760</v>
      </c>
      <c r="M150" s="2" t="s">
        <v>761</v>
      </c>
      <c r="N150" s="2"/>
      <c r="O150" s="2"/>
      <c r="P150" s="2" t="s">
        <v>31</v>
      </c>
      <c r="Q150" s="4">
        <v>45971</v>
      </c>
      <c r="R150" s="2" t="s">
        <v>762</v>
      </c>
      <c r="S150" s="2">
        <v>1</v>
      </c>
      <c r="T150" s="2" t="s">
        <v>749</v>
      </c>
      <c r="U150" s="2" t="s">
        <v>34</v>
      </c>
    </row>
    <row r="151" spans="1:2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05" x14ac:dyDescent="0.25">
      <c r="A152" s="2">
        <v>10</v>
      </c>
      <c r="B152" s="2" t="s">
        <v>763</v>
      </c>
      <c r="C152" s="2" t="s">
        <v>56</v>
      </c>
      <c r="D152" s="2" t="s">
        <v>321</v>
      </c>
      <c r="E152" s="2" t="s">
        <v>583</v>
      </c>
      <c r="F152" s="2" t="s">
        <v>59</v>
      </c>
      <c r="G152" s="2">
        <f>91-124-3055100</f>
        <v>-3055133</v>
      </c>
      <c r="H152" s="3" t="s">
        <v>764</v>
      </c>
      <c r="I152" s="3" t="s">
        <v>765</v>
      </c>
      <c r="J152" s="2" t="s">
        <v>766</v>
      </c>
      <c r="K152" s="2"/>
      <c r="L152" s="2" t="s">
        <v>767</v>
      </c>
      <c r="M152" s="2" t="s">
        <v>768</v>
      </c>
      <c r="N152" s="2"/>
      <c r="O152" s="2"/>
      <c r="P152" s="2" t="s">
        <v>31</v>
      </c>
      <c r="Q152" s="4">
        <v>45971</v>
      </c>
      <c r="R152" s="2" t="s">
        <v>769</v>
      </c>
      <c r="S152" s="2">
        <v>1</v>
      </c>
      <c r="T152" s="2" t="s">
        <v>749</v>
      </c>
      <c r="U152" s="2" t="s">
        <v>34</v>
      </c>
    </row>
    <row r="153" spans="1:21" ht="60" x14ac:dyDescent="0.25">
      <c r="A153" s="2">
        <v>10</v>
      </c>
      <c r="B153" s="2" t="s">
        <v>770</v>
      </c>
      <c r="C153" s="2" t="s">
        <v>56</v>
      </c>
      <c r="D153" s="2" t="s">
        <v>321</v>
      </c>
      <c r="E153" s="2" t="s">
        <v>410</v>
      </c>
      <c r="F153" s="2" t="s">
        <v>59</v>
      </c>
      <c r="G153" s="2">
        <f>91-129-4242222</f>
        <v>-4242260</v>
      </c>
      <c r="H153" s="3" t="s">
        <v>771</v>
      </c>
      <c r="I153" s="3" t="s">
        <v>772</v>
      </c>
      <c r="J153" s="2" t="s">
        <v>773</v>
      </c>
      <c r="K153" s="2"/>
      <c r="L153" s="2" t="s">
        <v>774</v>
      </c>
      <c r="M153" s="2" t="s">
        <v>775</v>
      </c>
      <c r="N153" s="2"/>
      <c r="O153" s="2"/>
      <c r="P153" s="2" t="s">
        <v>31</v>
      </c>
      <c r="Q153" s="4">
        <v>45971</v>
      </c>
      <c r="R153" s="2"/>
      <c r="S153" s="2">
        <v>1</v>
      </c>
      <c r="T153" s="2" t="s">
        <v>749</v>
      </c>
      <c r="U153" s="2" t="s">
        <v>34</v>
      </c>
    </row>
    <row r="154" spans="1:21" ht="135" x14ac:dyDescent="0.25">
      <c r="A154" s="2">
        <v>10</v>
      </c>
      <c r="B154" s="2" t="s">
        <v>776</v>
      </c>
      <c r="C154" s="2" t="s">
        <v>56</v>
      </c>
      <c r="D154" s="2" t="s">
        <v>23</v>
      </c>
      <c r="E154" s="2" t="s">
        <v>24</v>
      </c>
      <c r="F154" s="2" t="s">
        <v>49</v>
      </c>
      <c r="G154" s="2">
        <f>91-11-47106600</f>
        <v>-47106520</v>
      </c>
      <c r="H154" s="3" t="s">
        <v>777</v>
      </c>
      <c r="I154" s="3" t="s">
        <v>778</v>
      </c>
      <c r="J154" s="2" t="s">
        <v>779</v>
      </c>
      <c r="K154" s="2"/>
      <c r="L154" s="2" t="s">
        <v>780</v>
      </c>
      <c r="M154" s="2" t="s">
        <v>781</v>
      </c>
      <c r="N154" s="2"/>
      <c r="O154" s="2"/>
      <c r="P154" s="2" t="s">
        <v>31</v>
      </c>
      <c r="Q154" s="4">
        <v>45971</v>
      </c>
      <c r="R154" s="2" t="s">
        <v>782</v>
      </c>
      <c r="S154" s="2">
        <v>1</v>
      </c>
      <c r="T154" s="2" t="s">
        <v>749</v>
      </c>
      <c r="U154" s="2" t="s">
        <v>34</v>
      </c>
    </row>
    <row r="155" spans="1:21" ht="60" x14ac:dyDescent="0.25">
      <c r="A155" s="2">
        <v>10</v>
      </c>
      <c r="B155" s="2" t="s">
        <v>783</v>
      </c>
      <c r="C155" s="2" t="s">
        <v>56</v>
      </c>
      <c r="D155" s="2" t="s">
        <v>23</v>
      </c>
      <c r="E155" s="2" t="s">
        <v>24</v>
      </c>
      <c r="F155" s="2" t="s">
        <v>59</v>
      </c>
      <c r="G155" s="2">
        <f>91-11-41617100</f>
        <v>-41617020</v>
      </c>
      <c r="H155" s="3" t="s">
        <v>784</v>
      </c>
      <c r="I155" s="3" t="s">
        <v>785</v>
      </c>
      <c r="J155" s="2" t="s">
        <v>786</v>
      </c>
      <c r="K155" s="2"/>
      <c r="L155" s="2" t="s">
        <v>767</v>
      </c>
      <c r="M155" s="2" t="s">
        <v>787</v>
      </c>
      <c r="N155" s="2"/>
      <c r="O155" s="2"/>
      <c r="P155" s="2" t="s">
        <v>31</v>
      </c>
      <c r="Q155" s="4">
        <v>45971</v>
      </c>
      <c r="R155" s="2" t="s">
        <v>788</v>
      </c>
      <c r="S155" s="2">
        <v>1</v>
      </c>
      <c r="T155" s="2" t="s">
        <v>749</v>
      </c>
      <c r="U155" s="2" t="s">
        <v>34</v>
      </c>
    </row>
    <row r="156" spans="1:21" ht="45" x14ac:dyDescent="0.25">
      <c r="A156" s="2">
        <v>10</v>
      </c>
      <c r="B156" s="2" t="s">
        <v>789</v>
      </c>
      <c r="C156" s="2" t="s">
        <v>56</v>
      </c>
      <c r="D156" s="2" t="s">
        <v>321</v>
      </c>
      <c r="E156" s="2" t="s">
        <v>322</v>
      </c>
      <c r="F156" s="2" t="s">
        <v>59</v>
      </c>
      <c r="G156" s="2">
        <f>91-184-2267700</f>
        <v>-2267793</v>
      </c>
      <c r="H156" s="3" t="s">
        <v>790</v>
      </c>
      <c r="I156" s="3" t="s">
        <v>791</v>
      </c>
      <c r="J156" s="2" t="s">
        <v>792</v>
      </c>
      <c r="K156" s="2"/>
      <c r="L156" s="2" t="s">
        <v>780</v>
      </c>
      <c r="M156" s="2" t="s">
        <v>793</v>
      </c>
      <c r="N156" s="2"/>
      <c r="O156" s="2"/>
      <c r="P156" s="2" t="s">
        <v>31</v>
      </c>
      <c r="Q156" s="4">
        <v>45971</v>
      </c>
      <c r="R156" s="2"/>
      <c r="S156" s="2">
        <v>1</v>
      </c>
      <c r="T156" s="2" t="s">
        <v>749</v>
      </c>
      <c r="U156" s="2" t="s">
        <v>34</v>
      </c>
    </row>
    <row r="157" spans="1:21" ht="60" x14ac:dyDescent="0.25">
      <c r="A157" s="2">
        <v>10</v>
      </c>
      <c r="B157" s="2" t="s">
        <v>794</v>
      </c>
      <c r="C157" s="2" t="s">
        <v>56</v>
      </c>
      <c r="D157" s="2" t="s">
        <v>23</v>
      </c>
      <c r="E157" s="2" t="s">
        <v>24</v>
      </c>
      <c r="F157" s="2" t="s">
        <v>49</v>
      </c>
      <c r="G157" s="2">
        <f>91-11-47668888</f>
        <v>-47668808</v>
      </c>
      <c r="H157" s="3" t="s">
        <v>795</v>
      </c>
      <c r="I157" s="3" t="s">
        <v>796</v>
      </c>
      <c r="J157" s="2" t="s">
        <v>779</v>
      </c>
      <c r="K157" s="2"/>
      <c r="L157" s="2" t="s">
        <v>797</v>
      </c>
      <c r="M157" s="2" t="s">
        <v>798</v>
      </c>
      <c r="N157" s="2"/>
      <c r="O157" s="2"/>
      <c r="P157" s="2" t="s">
        <v>31</v>
      </c>
      <c r="Q157" s="4">
        <v>45971</v>
      </c>
      <c r="R157" s="2"/>
      <c r="S157" s="2">
        <v>1</v>
      </c>
      <c r="T157" s="2" t="s">
        <v>749</v>
      </c>
      <c r="U157" s="2" t="s">
        <v>34</v>
      </c>
    </row>
    <row r="158" spans="1:21" ht="105" x14ac:dyDescent="0.25">
      <c r="A158" s="2">
        <v>10</v>
      </c>
      <c r="B158" s="2" t="s">
        <v>799</v>
      </c>
      <c r="C158" s="2" t="s">
        <v>56</v>
      </c>
      <c r="D158" s="2" t="s">
        <v>321</v>
      </c>
      <c r="E158" s="2" t="s">
        <v>583</v>
      </c>
      <c r="F158" s="2" t="s">
        <v>800</v>
      </c>
      <c r="G158" s="2">
        <f>91-124-4695100</f>
        <v>-4695133</v>
      </c>
      <c r="H158" s="2" t="s">
        <v>801</v>
      </c>
      <c r="I158" s="3" t="s">
        <v>802</v>
      </c>
      <c r="J158" s="2" t="s">
        <v>803</v>
      </c>
      <c r="K158" s="2"/>
      <c r="L158" s="2" t="s">
        <v>804</v>
      </c>
      <c r="M158" s="2"/>
      <c r="N158" s="2"/>
      <c r="O158" s="2"/>
      <c r="P158" s="2" t="s">
        <v>31</v>
      </c>
      <c r="Q158" s="4">
        <v>45971</v>
      </c>
      <c r="R158" s="2" t="s">
        <v>805</v>
      </c>
      <c r="S158" s="2">
        <v>1</v>
      </c>
      <c r="T158" s="2" t="s">
        <v>749</v>
      </c>
      <c r="U158" s="2" t="s">
        <v>34</v>
      </c>
    </row>
    <row r="159" spans="1:21" ht="75" x14ac:dyDescent="0.25">
      <c r="A159" s="2">
        <v>10</v>
      </c>
      <c r="B159" s="2" t="s">
        <v>806</v>
      </c>
      <c r="C159" s="2" t="s">
        <v>56</v>
      </c>
      <c r="D159" s="2" t="s">
        <v>23</v>
      </c>
      <c r="E159" s="2" t="s">
        <v>24</v>
      </c>
      <c r="F159" s="2" t="s">
        <v>59</v>
      </c>
      <c r="G159" s="2">
        <f>91-11-43548800</f>
        <v>-43548720</v>
      </c>
      <c r="H159" s="3" t="s">
        <v>807</v>
      </c>
      <c r="I159" s="3" t="s">
        <v>808</v>
      </c>
      <c r="J159" s="2" t="s">
        <v>110</v>
      </c>
      <c r="K159" s="2"/>
      <c r="L159" s="2" t="s">
        <v>809</v>
      </c>
      <c r="M159" s="2"/>
      <c r="N159" s="2"/>
      <c r="O159" s="2"/>
      <c r="P159" s="2" t="s">
        <v>31</v>
      </c>
      <c r="Q159" s="4">
        <v>45971</v>
      </c>
      <c r="R159" s="2" t="s">
        <v>810</v>
      </c>
      <c r="S159" s="2">
        <v>1</v>
      </c>
      <c r="T159" s="2" t="s">
        <v>749</v>
      </c>
      <c r="U159" s="2" t="s">
        <v>34</v>
      </c>
    </row>
    <row r="160" spans="1:21" ht="60" x14ac:dyDescent="0.25">
      <c r="A160" s="2">
        <v>10</v>
      </c>
      <c r="B160" s="2" t="s">
        <v>811</v>
      </c>
      <c r="C160" s="2" t="s">
        <v>56</v>
      </c>
      <c r="D160" s="2" t="s">
        <v>153</v>
      </c>
      <c r="E160" s="2" t="s">
        <v>355</v>
      </c>
      <c r="F160" s="2" t="s">
        <v>59</v>
      </c>
      <c r="G160" s="2">
        <f>91-79-25556600</f>
        <v>-25556588</v>
      </c>
      <c r="H160" s="3" t="s">
        <v>812</v>
      </c>
      <c r="I160" s="3" t="s">
        <v>813</v>
      </c>
      <c r="J160" s="2" t="s">
        <v>814</v>
      </c>
      <c r="K160" s="2"/>
      <c r="L160" s="2" t="s">
        <v>815</v>
      </c>
      <c r="M160" s="2"/>
      <c r="N160" s="2"/>
      <c r="O160" s="2"/>
      <c r="P160" s="2" t="s">
        <v>31</v>
      </c>
      <c r="Q160" s="4">
        <v>45971</v>
      </c>
      <c r="R160" s="2"/>
      <c r="S160" s="2">
        <v>1</v>
      </c>
      <c r="T160" s="2" t="s">
        <v>749</v>
      </c>
      <c r="U160" s="2" t="s">
        <v>34</v>
      </c>
    </row>
    <row r="161" spans="1:21" ht="90" x14ac:dyDescent="0.25">
      <c r="A161" s="2">
        <v>10</v>
      </c>
      <c r="B161" s="2" t="s">
        <v>816</v>
      </c>
      <c r="C161" s="2" t="s">
        <v>119</v>
      </c>
      <c r="D161" s="2" t="s">
        <v>43</v>
      </c>
      <c r="E161" s="2" t="s">
        <v>44</v>
      </c>
      <c r="F161" s="2" t="s">
        <v>49</v>
      </c>
      <c r="G161" s="2">
        <f>91-40-24591218</f>
        <v>-24591167</v>
      </c>
      <c r="H161" s="3" t="s">
        <v>817</v>
      </c>
      <c r="I161" s="3" t="s">
        <v>818</v>
      </c>
      <c r="J161" s="2" t="s">
        <v>819</v>
      </c>
      <c r="K161" s="2"/>
      <c r="L161" s="2"/>
      <c r="M161" s="2"/>
      <c r="N161" s="2"/>
      <c r="O161" s="2"/>
      <c r="P161" s="2" t="s">
        <v>31</v>
      </c>
      <c r="Q161" s="4">
        <v>45981</v>
      </c>
      <c r="R161" s="2" t="s">
        <v>820</v>
      </c>
      <c r="S161" s="2">
        <v>1</v>
      </c>
      <c r="T161" s="2" t="s">
        <v>749</v>
      </c>
      <c r="U161" s="2" t="s">
        <v>34</v>
      </c>
    </row>
    <row r="162" spans="1:21" ht="45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5</v>
      </c>
      <c r="G162" s="1" t="s">
        <v>6</v>
      </c>
      <c r="H162" s="1" t="s">
        <v>7</v>
      </c>
      <c r="I162" s="1" t="s">
        <v>8</v>
      </c>
      <c r="J162" s="1" t="s">
        <v>9</v>
      </c>
      <c r="K162" s="1" t="s">
        <v>10</v>
      </c>
      <c r="L162" s="1" t="s">
        <v>11</v>
      </c>
      <c r="M162" s="1" t="s">
        <v>12</v>
      </c>
      <c r="N162" s="1" t="s">
        <v>13</v>
      </c>
      <c r="O162" s="1" t="s">
        <v>14</v>
      </c>
      <c r="P162" s="1" t="s">
        <v>15</v>
      </c>
      <c r="Q162" s="1" t="s">
        <v>16</v>
      </c>
      <c r="R162" s="1" t="s">
        <v>17</v>
      </c>
      <c r="S162" s="1" t="s">
        <v>18</v>
      </c>
      <c r="T162" s="1" t="s">
        <v>19</v>
      </c>
      <c r="U162" s="1" t="s">
        <v>20</v>
      </c>
    </row>
    <row r="163" spans="1:21" ht="180" x14ac:dyDescent="0.25">
      <c r="A163" s="2">
        <v>11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>
        <f>91-11-26514044</f>
        <v>-26513964</v>
      </c>
      <c r="H163" s="3" t="s">
        <v>26</v>
      </c>
      <c r="I163" s="3" t="s">
        <v>27</v>
      </c>
      <c r="J163" s="2" t="s">
        <v>406</v>
      </c>
      <c r="K163" s="2"/>
      <c r="L163" s="2"/>
      <c r="M163" s="2" t="s">
        <v>821</v>
      </c>
      <c r="N163" s="2"/>
      <c r="O163" s="2"/>
      <c r="P163" s="2" t="s">
        <v>31</v>
      </c>
      <c r="Q163" s="4">
        <v>45981</v>
      </c>
      <c r="R163" s="2" t="s">
        <v>822</v>
      </c>
      <c r="S163" s="2">
        <v>1</v>
      </c>
      <c r="T163" s="2" t="s">
        <v>823</v>
      </c>
      <c r="U163" s="2" t="s">
        <v>34</v>
      </c>
    </row>
    <row r="164" spans="1:21" ht="150" x14ac:dyDescent="0.25">
      <c r="A164" s="2">
        <v>11</v>
      </c>
      <c r="B164" s="2" t="s">
        <v>824</v>
      </c>
      <c r="C164" s="2" t="s">
        <v>233</v>
      </c>
      <c r="D164" s="2" t="s">
        <v>23</v>
      </c>
      <c r="E164" s="2" t="s">
        <v>24</v>
      </c>
      <c r="F164" s="2" t="s">
        <v>825</v>
      </c>
      <c r="G164" s="2">
        <f>91-11-23061562</f>
        <v>-23061482</v>
      </c>
      <c r="H164" s="2"/>
      <c r="I164" s="3" t="s">
        <v>826</v>
      </c>
      <c r="J164" s="2" t="s">
        <v>827</v>
      </c>
      <c r="K164" s="2"/>
      <c r="L164" s="2"/>
      <c r="M164" s="2"/>
      <c r="N164" s="2"/>
      <c r="O164" s="2"/>
      <c r="P164" s="2" t="s">
        <v>31</v>
      </c>
      <c r="Q164" s="4">
        <v>45981</v>
      </c>
      <c r="R164" s="2" t="s">
        <v>828</v>
      </c>
      <c r="S164" s="2">
        <v>1</v>
      </c>
      <c r="T164" s="2" t="s">
        <v>823</v>
      </c>
      <c r="U164" s="2" t="s">
        <v>34</v>
      </c>
    </row>
    <row r="165" spans="1:21" ht="90" x14ac:dyDescent="0.25">
      <c r="A165" s="2">
        <v>11</v>
      </c>
      <c r="B165" s="2" t="s">
        <v>829</v>
      </c>
      <c r="C165" s="2" t="s">
        <v>56</v>
      </c>
      <c r="D165" s="2" t="s">
        <v>298</v>
      </c>
      <c r="E165" s="2" t="s">
        <v>299</v>
      </c>
      <c r="F165" s="2" t="s">
        <v>59</v>
      </c>
      <c r="G165" s="2">
        <f>91-80-39891000</f>
        <v>-39890989</v>
      </c>
      <c r="H165" s="2"/>
      <c r="I165" s="3" t="s">
        <v>830</v>
      </c>
      <c r="J165" s="2" t="s">
        <v>831</v>
      </c>
      <c r="K165" s="2"/>
      <c r="L165" s="2" t="s">
        <v>273</v>
      </c>
      <c r="M165" s="2" t="s">
        <v>695</v>
      </c>
      <c r="N165" s="2"/>
      <c r="O165" s="2"/>
      <c r="P165" s="2" t="s">
        <v>31</v>
      </c>
      <c r="Q165" s="4">
        <v>45971</v>
      </c>
      <c r="R165" s="2" t="s">
        <v>832</v>
      </c>
      <c r="S165" s="2">
        <v>1</v>
      </c>
      <c r="T165" s="2" t="s">
        <v>823</v>
      </c>
      <c r="U165" s="2" t="s">
        <v>34</v>
      </c>
    </row>
    <row r="166" spans="1:21" ht="75" x14ac:dyDescent="0.25">
      <c r="A166" s="2">
        <v>11</v>
      </c>
      <c r="B166" s="2" t="s">
        <v>833</v>
      </c>
      <c r="C166" s="2" t="s">
        <v>56</v>
      </c>
      <c r="D166" s="2" t="s">
        <v>36</v>
      </c>
      <c r="E166" s="2" t="s">
        <v>526</v>
      </c>
      <c r="F166" s="2" t="s">
        <v>800</v>
      </c>
      <c r="G166" s="2">
        <f>91-22-66056000</f>
        <v>-66055931</v>
      </c>
      <c r="H166" s="2"/>
      <c r="I166" s="3" t="s">
        <v>834</v>
      </c>
      <c r="J166" s="2" t="s">
        <v>835</v>
      </c>
      <c r="K166" s="2"/>
      <c r="L166" s="2" t="s">
        <v>836</v>
      </c>
      <c r="M166" s="2"/>
      <c r="N166" s="2"/>
      <c r="O166" s="2"/>
      <c r="P166" s="2" t="s">
        <v>31</v>
      </c>
      <c r="Q166" s="4">
        <v>45971</v>
      </c>
      <c r="R166" s="2"/>
      <c r="S166" s="2">
        <v>1</v>
      </c>
      <c r="T166" s="2" t="s">
        <v>823</v>
      </c>
      <c r="U166" s="2" t="s">
        <v>34</v>
      </c>
    </row>
    <row r="167" spans="1:21" ht="75" x14ac:dyDescent="0.25">
      <c r="A167" s="2">
        <v>11</v>
      </c>
      <c r="B167" s="2" t="s">
        <v>837</v>
      </c>
      <c r="C167" s="2" t="s">
        <v>56</v>
      </c>
      <c r="D167" s="2" t="s">
        <v>36</v>
      </c>
      <c r="E167" s="2" t="s">
        <v>526</v>
      </c>
      <c r="F167" s="2" t="s">
        <v>59</v>
      </c>
      <c r="G167" s="2">
        <f>91-22-39830000</f>
        <v>-39829931</v>
      </c>
      <c r="H167" s="2"/>
      <c r="I167" s="3" t="s">
        <v>838</v>
      </c>
      <c r="J167" s="2" t="s">
        <v>110</v>
      </c>
      <c r="K167" s="2"/>
      <c r="L167" s="2" t="s">
        <v>839</v>
      </c>
      <c r="M167" s="2"/>
      <c r="N167" s="2"/>
      <c r="O167" s="2"/>
      <c r="P167" s="2" t="s">
        <v>31</v>
      </c>
      <c r="Q167" s="4">
        <v>45971</v>
      </c>
      <c r="R167" s="2"/>
      <c r="S167" s="2">
        <v>1</v>
      </c>
      <c r="T167" s="2" t="s">
        <v>823</v>
      </c>
      <c r="U167" s="2" t="s">
        <v>34</v>
      </c>
    </row>
    <row r="168" spans="1:21" ht="75" x14ac:dyDescent="0.25">
      <c r="A168" s="2">
        <v>11</v>
      </c>
      <c r="B168" s="2" t="s">
        <v>840</v>
      </c>
      <c r="C168" s="2" t="s">
        <v>56</v>
      </c>
      <c r="D168" s="2" t="s">
        <v>841</v>
      </c>
      <c r="E168" s="2" t="s">
        <v>842</v>
      </c>
      <c r="F168" s="2" t="s">
        <v>59</v>
      </c>
      <c r="G168" s="2">
        <f>91-183-5055000</f>
        <v>-5055092</v>
      </c>
      <c r="H168" s="3" t="s">
        <v>843</v>
      </c>
      <c r="I168" s="3" t="s">
        <v>844</v>
      </c>
      <c r="J168" s="2" t="s">
        <v>845</v>
      </c>
      <c r="K168" s="2"/>
      <c r="L168" s="2" t="s">
        <v>846</v>
      </c>
      <c r="M168" s="2"/>
      <c r="N168" s="2"/>
      <c r="O168" s="2"/>
      <c r="P168" s="2" t="s">
        <v>31</v>
      </c>
      <c r="Q168" s="4">
        <v>45971</v>
      </c>
      <c r="R168" s="2" t="s">
        <v>847</v>
      </c>
      <c r="S168" s="2">
        <v>1</v>
      </c>
      <c r="T168" s="2" t="s">
        <v>823</v>
      </c>
      <c r="U168" s="2" t="s">
        <v>34</v>
      </c>
    </row>
    <row r="169" spans="1:21" ht="60" x14ac:dyDescent="0.25">
      <c r="A169" s="2">
        <v>11</v>
      </c>
      <c r="B169" s="2" t="s">
        <v>848</v>
      </c>
      <c r="C169" s="2" t="s">
        <v>56</v>
      </c>
      <c r="D169" s="2" t="s">
        <v>23</v>
      </c>
      <c r="E169" s="2" t="s">
        <v>24</v>
      </c>
      <c r="F169" s="2" t="s">
        <v>59</v>
      </c>
      <c r="G169" s="2">
        <f>91-11-43191919</f>
        <v>-43191839</v>
      </c>
      <c r="H169" s="3" t="s">
        <v>849</v>
      </c>
      <c r="I169" s="3" t="s">
        <v>850</v>
      </c>
      <c r="J169" s="2" t="s">
        <v>851</v>
      </c>
      <c r="K169" s="2"/>
      <c r="L169" s="2" t="s">
        <v>852</v>
      </c>
      <c r="M169" s="2"/>
      <c r="N169" s="2"/>
      <c r="O169" s="2"/>
      <c r="P169" s="2" t="s">
        <v>31</v>
      </c>
      <c r="Q169" s="4">
        <v>45971</v>
      </c>
      <c r="R169" s="2"/>
      <c r="S169" s="2">
        <v>1</v>
      </c>
      <c r="T169" s="2" t="s">
        <v>823</v>
      </c>
      <c r="U169" s="2" t="s">
        <v>34</v>
      </c>
    </row>
    <row r="170" spans="1:21" ht="75" x14ac:dyDescent="0.25">
      <c r="A170" s="2">
        <v>11</v>
      </c>
      <c r="B170" s="2" t="s">
        <v>853</v>
      </c>
      <c r="C170" s="2" t="s">
        <v>56</v>
      </c>
      <c r="D170" s="2" t="s">
        <v>841</v>
      </c>
      <c r="E170" s="2" t="s">
        <v>854</v>
      </c>
      <c r="F170" s="2" t="s">
        <v>59</v>
      </c>
      <c r="G170" s="2">
        <f>91-172-5060000</f>
        <v>-5060081</v>
      </c>
      <c r="H170" s="3" t="s">
        <v>855</v>
      </c>
      <c r="I170" s="3" t="s">
        <v>856</v>
      </c>
      <c r="J170" s="2" t="s">
        <v>857</v>
      </c>
      <c r="K170" s="2"/>
      <c r="L170" s="2" t="s">
        <v>858</v>
      </c>
      <c r="M170" s="2"/>
      <c r="N170" s="2"/>
      <c r="O170" s="2"/>
      <c r="P170" s="2" t="s">
        <v>31</v>
      </c>
      <c r="Q170" s="4">
        <v>45971</v>
      </c>
      <c r="R170" s="2" t="s">
        <v>859</v>
      </c>
      <c r="S170" s="2">
        <v>1</v>
      </c>
      <c r="T170" s="2" t="s">
        <v>823</v>
      </c>
      <c r="U170" s="2" t="s">
        <v>34</v>
      </c>
    </row>
    <row r="171" spans="1:21" ht="75" x14ac:dyDescent="0.25">
      <c r="A171" s="2">
        <v>11</v>
      </c>
      <c r="B171" s="2" t="s">
        <v>860</v>
      </c>
      <c r="C171" s="2" t="s">
        <v>56</v>
      </c>
      <c r="D171" s="2" t="s">
        <v>321</v>
      </c>
      <c r="E171" s="2" t="s">
        <v>861</v>
      </c>
      <c r="F171" s="2" t="s">
        <v>49</v>
      </c>
      <c r="G171" s="2">
        <f>91-130-2211111</f>
        <v>-2211150</v>
      </c>
      <c r="H171" s="2"/>
      <c r="I171" s="2"/>
      <c r="J171" s="2" t="s">
        <v>861</v>
      </c>
      <c r="K171" s="2"/>
      <c r="L171" s="2" t="s">
        <v>862</v>
      </c>
      <c r="M171" s="2"/>
      <c r="N171" s="2"/>
      <c r="O171" s="2"/>
      <c r="P171" s="2" t="s">
        <v>31</v>
      </c>
      <c r="Q171" s="4">
        <v>45971</v>
      </c>
      <c r="R171" s="2"/>
      <c r="S171" s="2">
        <v>1</v>
      </c>
      <c r="T171" s="2" t="s">
        <v>823</v>
      </c>
      <c r="U171" s="2" t="s">
        <v>34</v>
      </c>
    </row>
    <row r="172" spans="1:21" ht="75" x14ac:dyDescent="0.25">
      <c r="A172" s="2">
        <v>11</v>
      </c>
      <c r="B172" s="2" t="s">
        <v>863</v>
      </c>
      <c r="C172" s="2" t="s">
        <v>56</v>
      </c>
      <c r="D172" s="2" t="s">
        <v>321</v>
      </c>
      <c r="E172" s="2" t="s">
        <v>583</v>
      </c>
      <c r="F172" s="2" t="s">
        <v>800</v>
      </c>
      <c r="G172" s="2">
        <f>91-124-4100000</f>
        <v>-4100033</v>
      </c>
      <c r="H172" s="2"/>
      <c r="I172" s="3" t="s">
        <v>864</v>
      </c>
      <c r="J172" s="2" t="s">
        <v>865</v>
      </c>
      <c r="K172" s="2"/>
      <c r="L172" s="2" t="s">
        <v>866</v>
      </c>
      <c r="M172" s="2"/>
      <c r="N172" s="2"/>
      <c r="O172" s="2"/>
      <c r="P172" s="2" t="s">
        <v>31</v>
      </c>
      <c r="Q172" s="4">
        <v>45971</v>
      </c>
      <c r="R172" s="2"/>
      <c r="S172" s="2">
        <v>1</v>
      </c>
      <c r="T172" s="2" t="s">
        <v>823</v>
      </c>
      <c r="U172" s="2" t="s">
        <v>34</v>
      </c>
    </row>
    <row r="173" spans="1:21" ht="60" x14ac:dyDescent="0.25">
      <c r="A173" s="2">
        <v>11</v>
      </c>
      <c r="B173" s="2" t="s">
        <v>867</v>
      </c>
      <c r="C173" s="2" t="s">
        <v>56</v>
      </c>
      <c r="D173" s="2" t="s">
        <v>23</v>
      </c>
      <c r="E173" s="2" t="s">
        <v>24</v>
      </c>
      <c r="F173" s="2" t="s">
        <v>59</v>
      </c>
      <c r="G173" s="2">
        <f>91-11-23951111</f>
        <v>-23951031</v>
      </c>
      <c r="H173" s="2"/>
      <c r="I173" s="2"/>
      <c r="J173" s="2" t="s">
        <v>868</v>
      </c>
      <c r="K173" s="2"/>
      <c r="L173" s="2" t="s">
        <v>869</v>
      </c>
      <c r="M173" s="2"/>
      <c r="N173" s="2"/>
      <c r="O173" s="2"/>
      <c r="P173" s="2" t="s">
        <v>31</v>
      </c>
      <c r="Q173" s="4">
        <v>45971</v>
      </c>
      <c r="R173" s="2" t="s">
        <v>870</v>
      </c>
      <c r="S173" s="2">
        <v>1</v>
      </c>
      <c r="T173" s="2" t="s">
        <v>823</v>
      </c>
      <c r="U173" s="2" t="s">
        <v>34</v>
      </c>
    </row>
    <row r="174" spans="1:21" ht="90" x14ac:dyDescent="0.25">
      <c r="A174" s="2">
        <v>11</v>
      </c>
      <c r="B174" s="2" t="s">
        <v>871</v>
      </c>
      <c r="C174" s="2" t="s">
        <v>56</v>
      </c>
      <c r="D174" s="2" t="s">
        <v>298</v>
      </c>
      <c r="E174" s="2" t="s">
        <v>872</v>
      </c>
      <c r="F174" s="2" t="s">
        <v>59</v>
      </c>
      <c r="G174" s="2">
        <f>91-8332-308500</f>
        <v>-316741</v>
      </c>
      <c r="H174" s="3" t="s">
        <v>873</v>
      </c>
      <c r="I174" s="3" t="s">
        <v>874</v>
      </c>
      <c r="J174" s="2" t="s">
        <v>875</v>
      </c>
      <c r="K174" s="2"/>
      <c r="L174" s="2" t="s">
        <v>876</v>
      </c>
      <c r="M174" s="2"/>
      <c r="N174" s="2"/>
      <c r="O174" s="2"/>
      <c r="P174" s="2" t="s">
        <v>31</v>
      </c>
      <c r="Q174" s="4">
        <v>45971</v>
      </c>
      <c r="R174" s="2" t="s">
        <v>877</v>
      </c>
      <c r="S174" s="2">
        <v>1</v>
      </c>
      <c r="T174" s="2" t="s">
        <v>823</v>
      </c>
      <c r="U174" s="2" t="s">
        <v>34</v>
      </c>
    </row>
    <row r="175" spans="1:21" ht="75" x14ac:dyDescent="0.25">
      <c r="A175" s="2">
        <v>11</v>
      </c>
      <c r="B175" s="2" t="s">
        <v>878</v>
      </c>
      <c r="C175" s="2" t="s">
        <v>56</v>
      </c>
      <c r="D175" s="2" t="s">
        <v>153</v>
      </c>
      <c r="E175" s="2"/>
      <c r="F175" s="2" t="s">
        <v>59</v>
      </c>
      <c r="G175" s="2">
        <f>91-22-61500000</f>
        <v>-61499931</v>
      </c>
      <c r="H175" s="2"/>
      <c r="I175" s="3" t="s">
        <v>879</v>
      </c>
      <c r="J175" s="2" t="s">
        <v>880</v>
      </c>
      <c r="K175" s="2"/>
      <c r="L175" s="2" t="s">
        <v>881</v>
      </c>
      <c r="M175" s="2"/>
      <c r="N175" s="2"/>
      <c r="O175" s="2"/>
      <c r="P175" s="2" t="s">
        <v>31</v>
      </c>
      <c r="Q175" s="4">
        <v>45971</v>
      </c>
      <c r="R175" s="2"/>
      <c r="S175" s="2">
        <v>1</v>
      </c>
      <c r="T175" s="2" t="s">
        <v>823</v>
      </c>
      <c r="U175" s="2" t="s">
        <v>34</v>
      </c>
    </row>
    <row r="176" spans="1:21" ht="105" x14ac:dyDescent="0.25">
      <c r="A176" s="2">
        <v>11</v>
      </c>
      <c r="B176" s="2" t="s">
        <v>882</v>
      </c>
      <c r="C176" s="2" t="s">
        <v>119</v>
      </c>
      <c r="D176" s="2" t="s">
        <v>102</v>
      </c>
      <c r="E176" s="2" t="s">
        <v>883</v>
      </c>
      <c r="F176" s="2" t="s">
        <v>49</v>
      </c>
      <c r="G176" s="2">
        <f>91-4362-228155</f>
        <v>-232426</v>
      </c>
      <c r="H176" s="3" t="s">
        <v>884</v>
      </c>
      <c r="I176" s="3" t="s">
        <v>885</v>
      </c>
      <c r="J176" s="2" t="s">
        <v>883</v>
      </c>
      <c r="K176" s="2"/>
      <c r="L176" s="2" t="s">
        <v>886</v>
      </c>
      <c r="M176" s="2"/>
      <c r="N176" s="2"/>
      <c r="O176" s="2"/>
      <c r="P176" s="2" t="s">
        <v>31</v>
      </c>
      <c r="Q176" s="4">
        <v>45981</v>
      </c>
      <c r="R176" s="2"/>
      <c r="S176" s="2">
        <v>1</v>
      </c>
      <c r="T176" s="2" t="s">
        <v>823</v>
      </c>
      <c r="U176" s="2" t="s">
        <v>34</v>
      </c>
    </row>
    <row r="177" spans="1:21" ht="45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  <c r="K177" s="1" t="s">
        <v>10</v>
      </c>
      <c r="L177" s="1" t="s">
        <v>11</v>
      </c>
      <c r="M177" s="1" t="s">
        <v>12</v>
      </c>
      <c r="N177" s="1" t="s">
        <v>13</v>
      </c>
      <c r="O177" s="1" t="s">
        <v>14</v>
      </c>
      <c r="P177" s="1" t="s">
        <v>15</v>
      </c>
      <c r="Q177" s="1" t="s">
        <v>16</v>
      </c>
      <c r="R177" s="1" t="s">
        <v>17</v>
      </c>
      <c r="S177" s="1" t="s">
        <v>18</v>
      </c>
      <c r="T177" s="1" t="s">
        <v>19</v>
      </c>
      <c r="U177" s="1" t="s">
        <v>20</v>
      </c>
    </row>
    <row r="178" spans="1:21" ht="180" x14ac:dyDescent="0.25">
      <c r="A178" s="2">
        <v>12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>
        <f>91-11-26514044</f>
        <v>-26513964</v>
      </c>
      <c r="H178" s="3" t="s">
        <v>26</v>
      </c>
      <c r="I178" s="3" t="s">
        <v>27</v>
      </c>
      <c r="J178" s="2" t="s">
        <v>406</v>
      </c>
      <c r="K178" s="2"/>
      <c r="L178" s="2"/>
      <c r="M178" s="2" t="s">
        <v>887</v>
      </c>
      <c r="N178" s="2"/>
      <c r="O178" s="2"/>
      <c r="P178" s="2" t="s">
        <v>31</v>
      </c>
      <c r="Q178" s="4">
        <v>45981</v>
      </c>
      <c r="R178" s="2" t="s">
        <v>888</v>
      </c>
      <c r="S178" s="2">
        <v>1</v>
      </c>
      <c r="T178" s="2" t="s">
        <v>889</v>
      </c>
      <c r="U178" s="2" t="s">
        <v>34</v>
      </c>
    </row>
    <row r="179" spans="1:21" ht="135" x14ac:dyDescent="0.25">
      <c r="A179" s="2">
        <v>12</v>
      </c>
      <c r="B179" s="2" t="s">
        <v>890</v>
      </c>
      <c r="C179" s="2" t="s">
        <v>22</v>
      </c>
      <c r="D179" s="2" t="s">
        <v>36</v>
      </c>
      <c r="E179" s="2" t="s">
        <v>526</v>
      </c>
      <c r="F179" s="2" t="s">
        <v>25</v>
      </c>
      <c r="G179" s="2">
        <f>91-22-22023225</f>
        <v>-22023156</v>
      </c>
      <c r="H179" s="3" t="s">
        <v>891</v>
      </c>
      <c r="I179" s="3" t="s">
        <v>892</v>
      </c>
      <c r="J179" s="2" t="s">
        <v>893</v>
      </c>
      <c r="K179" s="2"/>
      <c r="L179" s="2"/>
      <c r="M179" s="2" t="s">
        <v>894</v>
      </c>
      <c r="N179" s="2"/>
      <c r="O179" s="2"/>
      <c r="P179" s="2" t="s">
        <v>31</v>
      </c>
      <c r="Q179" s="4">
        <v>45981</v>
      </c>
      <c r="R179" s="2" t="s">
        <v>895</v>
      </c>
      <c r="S179" s="2">
        <v>1</v>
      </c>
      <c r="T179" s="2" t="s">
        <v>889</v>
      </c>
      <c r="U179" s="2" t="s">
        <v>34</v>
      </c>
    </row>
    <row r="180" spans="1:21" ht="120" x14ac:dyDescent="0.25">
      <c r="A180" s="2">
        <v>12</v>
      </c>
      <c r="B180" s="2" t="s">
        <v>896</v>
      </c>
      <c r="C180" s="2" t="s">
        <v>22</v>
      </c>
      <c r="D180" s="2" t="s">
        <v>36</v>
      </c>
      <c r="E180" s="2" t="s">
        <v>526</v>
      </c>
      <c r="F180" s="2" t="s">
        <v>897</v>
      </c>
      <c r="G180" s="2">
        <f>91-22-22021475</f>
        <v>-22021406</v>
      </c>
      <c r="H180" s="3" t="s">
        <v>898</v>
      </c>
      <c r="I180" s="3" t="s">
        <v>899</v>
      </c>
      <c r="J180" s="2" t="s">
        <v>900</v>
      </c>
      <c r="K180" s="2"/>
      <c r="L180" s="2"/>
      <c r="M180" s="2"/>
      <c r="N180" s="2"/>
      <c r="O180" s="2"/>
      <c r="P180" s="2" t="s">
        <v>31</v>
      </c>
      <c r="Q180" s="4">
        <v>45981</v>
      </c>
      <c r="R180" s="2" t="s">
        <v>901</v>
      </c>
      <c r="S180" s="2">
        <v>1</v>
      </c>
      <c r="T180" s="2" t="s">
        <v>889</v>
      </c>
      <c r="U180" s="2" t="s">
        <v>34</v>
      </c>
    </row>
    <row r="181" spans="1:21" ht="105" x14ac:dyDescent="0.25">
      <c r="A181" s="2">
        <v>12</v>
      </c>
      <c r="B181" s="2" t="s">
        <v>902</v>
      </c>
      <c r="C181" s="2" t="s">
        <v>56</v>
      </c>
      <c r="D181" s="2" t="s">
        <v>153</v>
      </c>
      <c r="E181" s="2" t="s">
        <v>903</v>
      </c>
      <c r="F181" s="2" t="s">
        <v>59</v>
      </c>
      <c r="G181" s="2">
        <f>91-281-2222222</f>
        <v>-2222412</v>
      </c>
      <c r="H181" s="3" t="s">
        <v>904</v>
      </c>
      <c r="I181" s="2"/>
      <c r="J181" s="2" t="s">
        <v>905</v>
      </c>
      <c r="K181" s="2"/>
      <c r="L181" s="2" t="s">
        <v>422</v>
      </c>
      <c r="M181" s="2" t="s">
        <v>906</v>
      </c>
      <c r="N181" s="2"/>
      <c r="O181" s="2"/>
      <c r="P181" s="2" t="s">
        <v>31</v>
      </c>
      <c r="Q181" s="4">
        <v>45971</v>
      </c>
      <c r="R181" s="2" t="s">
        <v>907</v>
      </c>
      <c r="S181" s="2">
        <v>1</v>
      </c>
      <c r="T181" s="2" t="s">
        <v>889</v>
      </c>
      <c r="U181" s="2" t="s">
        <v>34</v>
      </c>
    </row>
    <row r="182" spans="1:21" ht="120" x14ac:dyDescent="0.25">
      <c r="A182" s="2">
        <v>12</v>
      </c>
      <c r="B182" s="2" t="s">
        <v>908</v>
      </c>
      <c r="C182" s="2" t="s">
        <v>56</v>
      </c>
      <c r="D182" s="2" t="s">
        <v>23</v>
      </c>
      <c r="E182" s="2" t="s">
        <v>24</v>
      </c>
      <c r="F182" s="2" t="s">
        <v>800</v>
      </c>
      <c r="G182" s="2">
        <f>91-11-43548800</f>
        <v>-43548720</v>
      </c>
      <c r="H182" s="3" t="s">
        <v>807</v>
      </c>
      <c r="I182" s="3" t="s">
        <v>808</v>
      </c>
      <c r="J182" s="2" t="s">
        <v>909</v>
      </c>
      <c r="K182" s="2"/>
      <c r="L182" s="2"/>
      <c r="M182" s="2"/>
      <c r="N182" s="2"/>
      <c r="O182" s="2"/>
      <c r="P182" s="2" t="s">
        <v>31</v>
      </c>
      <c r="Q182" s="4">
        <v>45971</v>
      </c>
      <c r="R182" s="2" t="s">
        <v>910</v>
      </c>
      <c r="S182" s="2">
        <v>1</v>
      </c>
      <c r="T182" s="2" t="s">
        <v>889</v>
      </c>
      <c r="U182" s="2" t="s">
        <v>34</v>
      </c>
    </row>
    <row r="183" spans="1:21" ht="45" x14ac:dyDescent="0.25">
      <c r="A183" s="2">
        <v>12</v>
      </c>
      <c r="B183" s="2" t="s">
        <v>911</v>
      </c>
      <c r="C183" s="2" t="s">
        <v>56</v>
      </c>
      <c r="D183" s="2" t="s">
        <v>153</v>
      </c>
      <c r="E183" s="2" t="s">
        <v>912</v>
      </c>
      <c r="F183" s="2" t="s">
        <v>59</v>
      </c>
      <c r="G183" s="2">
        <f>91-2767-252222</f>
        <v>-254898</v>
      </c>
      <c r="H183" s="3" t="s">
        <v>913</v>
      </c>
      <c r="I183" s="3" t="s">
        <v>914</v>
      </c>
      <c r="J183" s="2" t="s">
        <v>915</v>
      </c>
      <c r="K183" s="2"/>
      <c r="L183" s="2" t="s">
        <v>916</v>
      </c>
      <c r="M183" s="2"/>
      <c r="N183" s="2"/>
      <c r="O183" s="2"/>
      <c r="P183" s="2" t="s">
        <v>31</v>
      </c>
      <c r="Q183" s="4">
        <v>45971</v>
      </c>
      <c r="R183" s="2"/>
      <c r="S183" s="2">
        <v>1</v>
      </c>
      <c r="T183" s="2" t="s">
        <v>889</v>
      </c>
      <c r="U183" s="2" t="s">
        <v>34</v>
      </c>
    </row>
    <row r="184" spans="1:21" ht="120" x14ac:dyDescent="0.25">
      <c r="A184" s="2">
        <v>12</v>
      </c>
      <c r="B184" s="2" t="s">
        <v>917</v>
      </c>
      <c r="C184" s="2" t="s">
        <v>56</v>
      </c>
      <c r="D184" s="2" t="s">
        <v>36</v>
      </c>
      <c r="E184" s="2" t="s">
        <v>526</v>
      </c>
      <c r="F184" s="2" t="s">
        <v>59</v>
      </c>
      <c r="G184" s="2">
        <f>91-22-40271300</f>
        <v>-40271231</v>
      </c>
      <c r="H184" s="3" t="s">
        <v>918</v>
      </c>
      <c r="I184" s="3" t="s">
        <v>919</v>
      </c>
      <c r="J184" s="2" t="s">
        <v>920</v>
      </c>
      <c r="K184" s="2"/>
      <c r="L184" s="2" t="s">
        <v>921</v>
      </c>
      <c r="M184" s="2"/>
      <c r="N184" s="2"/>
      <c r="O184" s="2"/>
      <c r="P184" s="2" t="s">
        <v>31</v>
      </c>
      <c r="Q184" s="4">
        <v>45971</v>
      </c>
      <c r="R184" s="2" t="s">
        <v>922</v>
      </c>
      <c r="S184" s="2">
        <v>1</v>
      </c>
      <c r="T184" s="2" t="s">
        <v>889</v>
      </c>
      <c r="U184" s="2" t="s">
        <v>34</v>
      </c>
    </row>
    <row r="185" spans="1:21" ht="90" x14ac:dyDescent="0.25">
      <c r="A185" s="2">
        <v>12</v>
      </c>
      <c r="B185" s="2" t="s">
        <v>923</v>
      </c>
      <c r="C185" s="2" t="s">
        <v>56</v>
      </c>
      <c r="D185" s="2" t="s">
        <v>153</v>
      </c>
      <c r="E185" s="2" t="s">
        <v>924</v>
      </c>
      <c r="F185" s="2" t="s">
        <v>59</v>
      </c>
      <c r="G185" s="2">
        <f>91-2836-237001</f>
        <v>-239746</v>
      </c>
      <c r="H185" s="3" t="s">
        <v>925</v>
      </c>
      <c r="I185" s="3" t="s">
        <v>926</v>
      </c>
      <c r="J185" s="2" t="s">
        <v>927</v>
      </c>
      <c r="K185" s="2"/>
      <c r="L185" s="2"/>
      <c r="M185" s="2"/>
      <c r="N185" s="2"/>
      <c r="O185" s="2"/>
      <c r="P185" s="2" t="s">
        <v>31</v>
      </c>
      <c r="Q185" s="4">
        <v>45971</v>
      </c>
      <c r="R185" s="2" t="s">
        <v>928</v>
      </c>
      <c r="S185" s="2">
        <v>1</v>
      </c>
      <c r="T185" s="2" t="s">
        <v>889</v>
      </c>
      <c r="U185" s="2" t="s">
        <v>34</v>
      </c>
    </row>
    <row r="186" spans="1:21" ht="105" x14ac:dyDescent="0.25">
      <c r="A186" s="2">
        <v>12</v>
      </c>
      <c r="B186" s="2" t="s">
        <v>929</v>
      </c>
      <c r="C186" s="2" t="s">
        <v>56</v>
      </c>
      <c r="D186" s="2" t="s">
        <v>153</v>
      </c>
      <c r="E186" s="2" t="s">
        <v>355</v>
      </c>
      <c r="F186" s="2" t="s">
        <v>59</v>
      </c>
      <c r="G186" s="2">
        <f>91-79-25556600</f>
        <v>-25556588</v>
      </c>
      <c r="H186" s="3" t="s">
        <v>812</v>
      </c>
      <c r="I186" s="3" t="s">
        <v>813</v>
      </c>
      <c r="J186" s="2" t="s">
        <v>110</v>
      </c>
      <c r="K186" s="2"/>
      <c r="L186" s="2" t="s">
        <v>930</v>
      </c>
      <c r="M186" s="2"/>
      <c r="N186" s="2"/>
      <c r="O186" s="2"/>
      <c r="P186" s="2" t="s">
        <v>31</v>
      </c>
      <c r="Q186" s="4">
        <v>45971</v>
      </c>
      <c r="R186" s="2"/>
      <c r="S186" s="2">
        <v>1</v>
      </c>
      <c r="T186" s="2" t="s">
        <v>889</v>
      </c>
      <c r="U186" s="2" t="s">
        <v>34</v>
      </c>
    </row>
    <row r="187" spans="1:21" ht="120" x14ac:dyDescent="0.25">
      <c r="A187" s="2">
        <v>12</v>
      </c>
      <c r="B187" s="2" t="s">
        <v>931</v>
      </c>
      <c r="C187" s="2" t="s">
        <v>56</v>
      </c>
      <c r="D187" s="2" t="s">
        <v>321</v>
      </c>
      <c r="E187" s="2" t="s">
        <v>583</v>
      </c>
      <c r="F187" s="2" t="s">
        <v>800</v>
      </c>
      <c r="G187" s="2">
        <f>91-124-4695100</f>
        <v>-4695133</v>
      </c>
      <c r="H187" s="3" t="s">
        <v>932</v>
      </c>
      <c r="I187" s="3" t="s">
        <v>802</v>
      </c>
      <c r="J187" s="2" t="s">
        <v>803</v>
      </c>
      <c r="K187" s="2"/>
      <c r="L187" s="2"/>
      <c r="M187" s="2"/>
      <c r="N187" s="2"/>
      <c r="O187" s="2"/>
      <c r="P187" s="2" t="s">
        <v>31</v>
      </c>
      <c r="Q187" s="4">
        <v>45971</v>
      </c>
      <c r="R187" s="2" t="s">
        <v>933</v>
      </c>
      <c r="S187" s="2">
        <v>1</v>
      </c>
      <c r="T187" s="2" t="s">
        <v>889</v>
      </c>
      <c r="U187" s="2" t="s">
        <v>34</v>
      </c>
    </row>
    <row r="188" spans="1:21" ht="90" x14ac:dyDescent="0.25">
      <c r="A188" s="2">
        <v>12</v>
      </c>
      <c r="B188" s="2" t="s">
        <v>934</v>
      </c>
      <c r="C188" s="2" t="s">
        <v>426</v>
      </c>
      <c r="D188" s="2" t="s">
        <v>153</v>
      </c>
      <c r="E188" s="2" t="s">
        <v>935</v>
      </c>
      <c r="F188" s="2" t="s">
        <v>541</v>
      </c>
      <c r="G188" s="2">
        <f>91-2767-253000</f>
        <v>-255676</v>
      </c>
      <c r="H188" s="2"/>
      <c r="I188" s="2"/>
      <c r="J188" s="2" t="s">
        <v>936</v>
      </c>
      <c r="K188" s="2"/>
      <c r="L188" s="2" t="s">
        <v>937</v>
      </c>
      <c r="M188" s="2"/>
      <c r="N188" s="2"/>
      <c r="O188" s="2"/>
      <c r="P188" s="2" t="s">
        <v>31</v>
      </c>
      <c r="Q188" s="4">
        <v>45981</v>
      </c>
      <c r="R188" s="2"/>
      <c r="S188" s="2">
        <v>1</v>
      </c>
      <c r="T188" s="2" t="s">
        <v>889</v>
      </c>
      <c r="U188" s="2" t="s">
        <v>34</v>
      </c>
    </row>
    <row r="189" spans="1:21" ht="90" x14ac:dyDescent="0.25">
      <c r="A189" s="2">
        <v>12</v>
      </c>
      <c r="B189" s="2" t="s">
        <v>938</v>
      </c>
      <c r="C189" s="2" t="s">
        <v>426</v>
      </c>
      <c r="D189" s="2" t="s">
        <v>153</v>
      </c>
      <c r="E189" s="2" t="s">
        <v>903</v>
      </c>
      <c r="F189" s="2" t="s">
        <v>655</v>
      </c>
      <c r="G189" s="2">
        <f>91-281-2466666</f>
        <v>-2466856</v>
      </c>
      <c r="H189" s="2"/>
      <c r="I189" s="2"/>
      <c r="J189" s="2" t="s">
        <v>939</v>
      </c>
      <c r="K189" s="2"/>
      <c r="L189" s="2" t="s">
        <v>940</v>
      </c>
      <c r="M189" s="2"/>
      <c r="N189" s="2"/>
      <c r="O189" s="2"/>
      <c r="P189" s="2" t="s">
        <v>31</v>
      </c>
      <c r="Q189" s="4">
        <v>45981</v>
      </c>
      <c r="R189" s="2"/>
      <c r="S189" s="2">
        <v>1</v>
      </c>
      <c r="T189" s="2" t="s">
        <v>889</v>
      </c>
      <c r="U189" s="2" t="s">
        <v>34</v>
      </c>
    </row>
    <row r="190" spans="1:21" ht="105" x14ac:dyDescent="0.25">
      <c r="A190" s="2">
        <v>12</v>
      </c>
      <c r="B190" s="2" t="s">
        <v>941</v>
      </c>
      <c r="C190" s="2" t="s">
        <v>119</v>
      </c>
      <c r="D190" s="2" t="s">
        <v>153</v>
      </c>
      <c r="E190" s="2" t="s">
        <v>942</v>
      </c>
      <c r="F190" s="2" t="s">
        <v>49</v>
      </c>
      <c r="G190" s="2">
        <f>91-285-2670131</f>
        <v>-2670325</v>
      </c>
      <c r="H190" s="3" t="s">
        <v>943</v>
      </c>
      <c r="I190" s="3" t="s">
        <v>944</v>
      </c>
      <c r="J190" s="2" t="s">
        <v>942</v>
      </c>
      <c r="K190" s="2"/>
      <c r="L190" s="2" t="s">
        <v>945</v>
      </c>
      <c r="M190" s="2"/>
      <c r="N190" s="2"/>
      <c r="O190" s="2"/>
      <c r="P190" s="2" t="s">
        <v>31</v>
      </c>
      <c r="Q190" s="4">
        <v>45981</v>
      </c>
      <c r="R190" s="2"/>
      <c r="S190" s="2">
        <v>1</v>
      </c>
      <c r="T190" s="2" t="s">
        <v>889</v>
      </c>
      <c r="U190" s="2" t="s">
        <v>34</v>
      </c>
    </row>
    <row r="191" spans="1:21" ht="120" x14ac:dyDescent="0.25">
      <c r="A191" s="2">
        <v>12</v>
      </c>
      <c r="B191" s="2" t="s">
        <v>946</v>
      </c>
      <c r="C191" s="2" t="s">
        <v>119</v>
      </c>
      <c r="D191" s="2" t="s">
        <v>43</v>
      </c>
      <c r="E191" s="2" t="s">
        <v>44</v>
      </c>
      <c r="F191" s="2" t="s">
        <v>49</v>
      </c>
      <c r="G191" s="2">
        <f>91-40-24598444</f>
        <v>-24598393</v>
      </c>
      <c r="H191" s="3" t="s">
        <v>947</v>
      </c>
      <c r="I191" s="3" t="s">
        <v>948</v>
      </c>
      <c r="J191" s="2" t="s">
        <v>949</v>
      </c>
      <c r="K191" s="2"/>
      <c r="L191" s="2" t="s">
        <v>950</v>
      </c>
      <c r="M191" s="2"/>
      <c r="N191" s="2"/>
      <c r="O191" s="2"/>
      <c r="P191" s="2" t="s">
        <v>31</v>
      </c>
      <c r="Q191" s="4">
        <v>45981</v>
      </c>
      <c r="R191" s="2"/>
      <c r="S191" s="2">
        <v>1</v>
      </c>
      <c r="T191" s="2" t="s">
        <v>889</v>
      </c>
      <c r="U191" s="2" t="s">
        <v>34</v>
      </c>
    </row>
    <row r="192" spans="1:21" ht="45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5</v>
      </c>
      <c r="G192" s="1" t="s">
        <v>6</v>
      </c>
      <c r="H192" s="1" t="s">
        <v>7</v>
      </c>
      <c r="I192" s="1" t="s">
        <v>8</v>
      </c>
      <c r="J192" s="1" t="s">
        <v>9</v>
      </c>
      <c r="K192" s="1" t="s">
        <v>10</v>
      </c>
      <c r="L192" s="1" t="s">
        <v>11</v>
      </c>
      <c r="M192" s="1" t="s">
        <v>12</v>
      </c>
      <c r="N192" s="1" t="s">
        <v>13</v>
      </c>
      <c r="O192" s="1" t="s">
        <v>14</v>
      </c>
      <c r="P192" s="1" t="s">
        <v>15</v>
      </c>
      <c r="Q192" s="1" t="s">
        <v>16</v>
      </c>
      <c r="R192" s="1" t="s">
        <v>17</v>
      </c>
      <c r="S192" s="1" t="s">
        <v>18</v>
      </c>
      <c r="T192" s="1" t="s">
        <v>19</v>
      </c>
      <c r="U192" s="1" t="s">
        <v>20</v>
      </c>
    </row>
    <row r="193" spans="1:21" ht="180" x14ac:dyDescent="0.25">
      <c r="A193" s="2">
        <v>13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>
        <f>91-11-26514044</f>
        <v>-26513964</v>
      </c>
      <c r="H193" s="3" t="s">
        <v>26</v>
      </c>
      <c r="I193" s="3" t="s">
        <v>27</v>
      </c>
      <c r="J193" s="2" t="s">
        <v>406</v>
      </c>
      <c r="K193" s="2"/>
      <c r="L193" s="2"/>
      <c r="M193" s="2" t="s">
        <v>951</v>
      </c>
      <c r="N193" s="2"/>
      <c r="O193" s="2"/>
      <c r="P193" s="2" t="s">
        <v>31</v>
      </c>
      <c r="Q193" s="4">
        <v>45981</v>
      </c>
      <c r="R193" s="2" t="s">
        <v>952</v>
      </c>
      <c r="S193" s="2">
        <v>1</v>
      </c>
      <c r="T193" s="2" t="s">
        <v>953</v>
      </c>
      <c r="U193" s="2" t="s">
        <v>34</v>
      </c>
    </row>
    <row r="194" spans="1:21" ht="150" x14ac:dyDescent="0.25">
      <c r="A194" s="2">
        <v>13</v>
      </c>
      <c r="B194" s="2" t="s">
        <v>954</v>
      </c>
      <c r="C194" s="2" t="s">
        <v>22</v>
      </c>
      <c r="D194" s="2" t="s">
        <v>147</v>
      </c>
      <c r="E194" s="2" t="s">
        <v>148</v>
      </c>
      <c r="F194" s="2" t="s">
        <v>897</v>
      </c>
      <c r="G194" s="2">
        <f>91-33-22834497</f>
        <v>-22834439</v>
      </c>
      <c r="H194" s="3" t="s">
        <v>955</v>
      </c>
      <c r="I194" s="3" t="s">
        <v>956</v>
      </c>
      <c r="J194" s="2" t="s">
        <v>957</v>
      </c>
      <c r="K194" s="2"/>
      <c r="L194" s="2"/>
      <c r="M194" s="2" t="s">
        <v>958</v>
      </c>
      <c r="N194" s="2"/>
      <c r="O194" s="2"/>
      <c r="P194" s="2" t="s">
        <v>31</v>
      </c>
      <c r="Q194" s="4">
        <v>45981</v>
      </c>
      <c r="R194" s="2" t="s">
        <v>959</v>
      </c>
      <c r="S194" s="2">
        <v>1</v>
      </c>
      <c r="T194" s="2" t="s">
        <v>953</v>
      </c>
      <c r="U194" s="2" t="s">
        <v>34</v>
      </c>
    </row>
    <row r="195" spans="1:21" ht="90" x14ac:dyDescent="0.25">
      <c r="A195" s="2">
        <v>13</v>
      </c>
      <c r="B195" s="2" t="s">
        <v>960</v>
      </c>
      <c r="C195" s="2" t="s">
        <v>56</v>
      </c>
      <c r="D195" s="2" t="s">
        <v>961</v>
      </c>
      <c r="E195" s="2" t="s">
        <v>962</v>
      </c>
      <c r="F195" s="2" t="s">
        <v>59</v>
      </c>
      <c r="G195" s="2">
        <f>91-5947-269000</f>
        <v>-274856</v>
      </c>
      <c r="H195" s="3" t="s">
        <v>963</v>
      </c>
      <c r="I195" s="3" t="s">
        <v>964</v>
      </c>
      <c r="J195" s="2" t="s">
        <v>965</v>
      </c>
      <c r="K195" s="2"/>
      <c r="L195" s="2" t="s">
        <v>966</v>
      </c>
      <c r="M195" s="2" t="s">
        <v>967</v>
      </c>
      <c r="N195" s="2"/>
      <c r="O195" s="2"/>
      <c r="P195" s="2" t="s">
        <v>31</v>
      </c>
      <c r="Q195" s="4">
        <v>45971</v>
      </c>
      <c r="R195" s="2" t="s">
        <v>968</v>
      </c>
      <c r="S195" s="2">
        <v>1</v>
      </c>
      <c r="T195" s="2" t="s">
        <v>953</v>
      </c>
      <c r="U195" s="2" t="s">
        <v>34</v>
      </c>
    </row>
    <row r="196" spans="1:21" ht="90" x14ac:dyDescent="0.25">
      <c r="A196" s="2">
        <v>13</v>
      </c>
      <c r="B196" s="2" t="s">
        <v>969</v>
      </c>
      <c r="C196" s="2" t="s">
        <v>56</v>
      </c>
      <c r="D196" s="2" t="s">
        <v>970</v>
      </c>
      <c r="E196" s="2" t="s">
        <v>971</v>
      </c>
      <c r="F196" s="2" t="s">
        <v>59</v>
      </c>
      <c r="G196" s="2">
        <f>91-154-2494552</f>
        <v>-2494615</v>
      </c>
      <c r="H196" s="3" t="s">
        <v>972</v>
      </c>
      <c r="I196" s="3" t="s">
        <v>973</v>
      </c>
      <c r="J196" s="2" t="s">
        <v>974</v>
      </c>
      <c r="K196" s="2"/>
      <c r="L196" s="2" t="s">
        <v>975</v>
      </c>
      <c r="M196" s="2" t="s">
        <v>976</v>
      </c>
      <c r="N196" s="2"/>
      <c r="O196" s="2"/>
      <c r="P196" s="2" t="s">
        <v>31</v>
      </c>
      <c r="Q196" s="4">
        <v>45971</v>
      </c>
      <c r="R196" s="2" t="s">
        <v>977</v>
      </c>
      <c r="S196" s="2">
        <v>1</v>
      </c>
      <c r="T196" s="2" t="s">
        <v>953</v>
      </c>
      <c r="U196" s="2" t="s">
        <v>34</v>
      </c>
    </row>
    <row r="197" spans="1:21" ht="75" x14ac:dyDescent="0.25">
      <c r="A197" s="2">
        <v>13</v>
      </c>
      <c r="B197" s="2" t="s">
        <v>978</v>
      </c>
      <c r="C197" s="2" t="s">
        <v>56</v>
      </c>
      <c r="D197" s="2" t="s">
        <v>321</v>
      </c>
      <c r="E197" s="2" t="s">
        <v>979</v>
      </c>
      <c r="F197" s="2" t="s">
        <v>59</v>
      </c>
      <c r="G197" s="2">
        <f>91-1664-242103</f>
        <v>-243676</v>
      </c>
      <c r="H197" s="3" t="s">
        <v>980</v>
      </c>
      <c r="I197" s="3" t="s">
        <v>981</v>
      </c>
      <c r="J197" s="2" t="s">
        <v>982</v>
      </c>
      <c r="K197" s="2"/>
      <c r="L197" s="2" t="s">
        <v>966</v>
      </c>
      <c r="M197" s="2" t="s">
        <v>983</v>
      </c>
      <c r="N197" s="2"/>
      <c r="O197" s="2"/>
      <c r="P197" s="2" t="s">
        <v>31</v>
      </c>
      <c r="Q197" s="4">
        <v>45971</v>
      </c>
      <c r="R197" s="2"/>
      <c r="S197" s="2">
        <v>1</v>
      </c>
      <c r="T197" s="2" t="s">
        <v>953</v>
      </c>
      <c r="U197" s="2" t="s">
        <v>34</v>
      </c>
    </row>
    <row r="198" spans="1:21" ht="60" x14ac:dyDescent="0.25">
      <c r="A198" s="2">
        <v>13</v>
      </c>
      <c r="B198" s="2" t="s">
        <v>984</v>
      </c>
      <c r="C198" s="2" t="s">
        <v>56</v>
      </c>
      <c r="D198" s="2" t="s">
        <v>36</v>
      </c>
      <c r="E198" s="2" t="s">
        <v>526</v>
      </c>
      <c r="F198" s="2" t="s">
        <v>59</v>
      </c>
      <c r="G198" s="2">
        <f>91-22-66560900</f>
        <v>-66560831</v>
      </c>
      <c r="H198" s="3" t="s">
        <v>985</v>
      </c>
      <c r="I198" s="3" t="s">
        <v>986</v>
      </c>
      <c r="J198" s="2" t="s">
        <v>987</v>
      </c>
      <c r="K198" s="2"/>
      <c r="L198" s="2" t="s">
        <v>988</v>
      </c>
      <c r="M198" s="2" t="s">
        <v>989</v>
      </c>
      <c r="N198" s="2"/>
      <c r="O198" s="2"/>
      <c r="P198" s="2" t="s">
        <v>31</v>
      </c>
      <c r="Q198" s="4">
        <v>45971</v>
      </c>
      <c r="R198" s="2"/>
      <c r="S198" s="2">
        <v>1</v>
      </c>
      <c r="T198" s="2" t="s">
        <v>953</v>
      </c>
      <c r="U198" s="2" t="s">
        <v>34</v>
      </c>
    </row>
    <row r="199" spans="1:21" ht="75" x14ac:dyDescent="0.25">
      <c r="A199" s="2">
        <v>13</v>
      </c>
      <c r="B199" s="2" t="s">
        <v>990</v>
      </c>
      <c r="C199" s="2" t="s">
        <v>56</v>
      </c>
      <c r="D199" s="2" t="s">
        <v>970</v>
      </c>
      <c r="E199" s="2" t="s">
        <v>991</v>
      </c>
      <c r="F199" s="2" t="s">
        <v>59</v>
      </c>
      <c r="G199" s="2">
        <f>91-291-2571311</f>
        <v>-2571511</v>
      </c>
      <c r="H199" s="3" t="s">
        <v>992</v>
      </c>
      <c r="I199" s="3" t="s">
        <v>993</v>
      </c>
      <c r="J199" s="2" t="s">
        <v>994</v>
      </c>
      <c r="K199" s="2"/>
      <c r="L199" s="2" t="s">
        <v>995</v>
      </c>
      <c r="M199" s="2" t="s">
        <v>996</v>
      </c>
      <c r="N199" s="2"/>
      <c r="O199" s="2"/>
      <c r="P199" s="2" t="s">
        <v>31</v>
      </c>
      <c r="Q199" s="4">
        <v>45971</v>
      </c>
      <c r="R199" s="2"/>
      <c r="S199" s="2">
        <v>1</v>
      </c>
      <c r="T199" s="2" t="s">
        <v>953</v>
      </c>
      <c r="U199" s="2" t="s">
        <v>34</v>
      </c>
    </row>
    <row r="200" spans="1:21" ht="75" x14ac:dyDescent="0.25">
      <c r="A200" s="2">
        <v>13</v>
      </c>
      <c r="B200" s="2" t="s">
        <v>997</v>
      </c>
      <c r="C200" s="2" t="s">
        <v>56</v>
      </c>
      <c r="D200" s="2" t="s">
        <v>153</v>
      </c>
      <c r="E200" s="2" t="s">
        <v>355</v>
      </c>
      <c r="F200" s="2" t="s">
        <v>59</v>
      </c>
      <c r="G200" s="2">
        <f>91-79-25830688</f>
        <v>-25830676</v>
      </c>
      <c r="H200" s="3" t="s">
        <v>998</v>
      </c>
      <c r="I200" s="3" t="s">
        <v>999</v>
      </c>
      <c r="J200" s="2" t="s">
        <v>355</v>
      </c>
      <c r="K200" s="2"/>
      <c r="L200" s="2" t="s">
        <v>1000</v>
      </c>
      <c r="M200" s="2" t="s">
        <v>1001</v>
      </c>
      <c r="N200" s="2"/>
      <c r="O200" s="2"/>
      <c r="P200" s="2" t="s">
        <v>31</v>
      </c>
      <c r="Q200" s="4">
        <v>45971</v>
      </c>
      <c r="R200" s="2"/>
      <c r="S200" s="2">
        <v>1</v>
      </c>
      <c r="T200" s="2" t="s">
        <v>953</v>
      </c>
      <c r="U200" s="2" t="s">
        <v>34</v>
      </c>
    </row>
    <row r="201" spans="1:21" ht="60" x14ac:dyDescent="0.25">
      <c r="A201" s="2">
        <v>13</v>
      </c>
      <c r="B201" s="2" t="s">
        <v>1002</v>
      </c>
      <c r="C201" s="2" t="s">
        <v>56</v>
      </c>
      <c r="D201" s="2" t="s">
        <v>153</v>
      </c>
      <c r="E201" s="2" t="s">
        <v>355</v>
      </c>
      <c r="F201" s="2" t="s">
        <v>49</v>
      </c>
      <c r="G201" s="2">
        <f>91-79-25890001</f>
        <v>-25889989</v>
      </c>
      <c r="H201" s="3" t="s">
        <v>1003</v>
      </c>
      <c r="I201" s="3" t="s">
        <v>1004</v>
      </c>
      <c r="J201" s="2" t="s">
        <v>355</v>
      </c>
      <c r="K201" s="2"/>
      <c r="L201" s="2" t="s">
        <v>1005</v>
      </c>
      <c r="M201" s="2" t="s">
        <v>1006</v>
      </c>
      <c r="N201" s="2"/>
      <c r="O201" s="2"/>
      <c r="P201" s="2" t="s">
        <v>31</v>
      </c>
      <c r="Q201" s="4">
        <v>45971</v>
      </c>
      <c r="R201" s="2"/>
      <c r="S201" s="2">
        <v>1</v>
      </c>
      <c r="T201" s="2" t="s">
        <v>953</v>
      </c>
      <c r="U201" s="2" t="s">
        <v>34</v>
      </c>
    </row>
    <row r="202" spans="1:21" ht="90" x14ac:dyDescent="0.25">
      <c r="A202" s="2">
        <v>13</v>
      </c>
      <c r="B202" s="2" t="s">
        <v>1007</v>
      </c>
      <c r="C202" s="2" t="s">
        <v>426</v>
      </c>
      <c r="D202" s="2" t="s">
        <v>970</v>
      </c>
      <c r="E202" s="2" t="s">
        <v>1008</v>
      </c>
      <c r="F202" s="2" t="s">
        <v>655</v>
      </c>
      <c r="G202" s="2"/>
      <c r="H202" s="2"/>
      <c r="I202" s="2"/>
      <c r="J202" s="2" t="s">
        <v>1009</v>
      </c>
      <c r="K202" s="2"/>
      <c r="L202" s="2" t="s">
        <v>1010</v>
      </c>
      <c r="M202" s="2"/>
      <c r="N202" s="2"/>
      <c r="O202" s="2"/>
      <c r="P202" s="2" t="s">
        <v>31</v>
      </c>
      <c r="Q202" s="4">
        <v>45981</v>
      </c>
      <c r="R202" s="2" t="s">
        <v>1011</v>
      </c>
      <c r="S202" s="2">
        <v>1</v>
      </c>
      <c r="T202" s="2" t="s">
        <v>953</v>
      </c>
      <c r="U202" s="2" t="s">
        <v>34</v>
      </c>
    </row>
    <row r="203" spans="1:21" ht="105" x14ac:dyDescent="0.25">
      <c r="A203" s="2">
        <v>13</v>
      </c>
      <c r="B203" s="2" t="s">
        <v>1012</v>
      </c>
      <c r="C203" s="2" t="s">
        <v>119</v>
      </c>
      <c r="D203" s="2" t="s">
        <v>970</v>
      </c>
      <c r="E203" s="2" t="s">
        <v>991</v>
      </c>
      <c r="F203" s="2" t="s">
        <v>49</v>
      </c>
      <c r="G203" s="2">
        <f>91-291-2786588</f>
        <v>-2786788</v>
      </c>
      <c r="H203" s="3" t="s">
        <v>1013</v>
      </c>
      <c r="I203" s="3" t="s">
        <v>1014</v>
      </c>
      <c r="J203" s="2" t="s">
        <v>991</v>
      </c>
      <c r="K203" s="2"/>
      <c r="L203" s="2" t="s">
        <v>1015</v>
      </c>
      <c r="M203" s="2"/>
      <c r="N203" s="2"/>
      <c r="O203" s="2"/>
      <c r="P203" s="2" t="s">
        <v>31</v>
      </c>
      <c r="Q203" s="4">
        <v>45981</v>
      </c>
      <c r="R203" s="2"/>
      <c r="S203" s="2">
        <v>1</v>
      </c>
      <c r="T203" s="2" t="s">
        <v>953</v>
      </c>
      <c r="U203" s="2" t="s">
        <v>34</v>
      </c>
    </row>
    <row r="204" spans="1:21" ht="45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 t="s">
        <v>7</v>
      </c>
      <c r="I204" s="1" t="s">
        <v>8</v>
      </c>
      <c r="J204" s="1" t="s">
        <v>9</v>
      </c>
      <c r="K204" s="1" t="s">
        <v>10</v>
      </c>
      <c r="L204" s="1" t="s">
        <v>11</v>
      </c>
      <c r="M204" s="1" t="s">
        <v>12</v>
      </c>
      <c r="N204" s="1" t="s">
        <v>13</v>
      </c>
      <c r="O204" s="1" t="s">
        <v>14</v>
      </c>
      <c r="P204" s="1" t="s">
        <v>15</v>
      </c>
      <c r="Q204" s="1" t="s">
        <v>16</v>
      </c>
      <c r="R204" s="1" t="s">
        <v>17</v>
      </c>
      <c r="S204" s="1" t="s">
        <v>18</v>
      </c>
      <c r="T204" s="1" t="s">
        <v>19</v>
      </c>
      <c r="U204" s="1" t="s">
        <v>20</v>
      </c>
    </row>
    <row r="205" spans="1:21" ht="180" x14ac:dyDescent="0.25">
      <c r="A205" s="2">
        <v>14</v>
      </c>
      <c r="B205" s="2" t="s">
        <v>21</v>
      </c>
      <c r="C205" s="2" t="s">
        <v>22</v>
      </c>
      <c r="D205" s="2" t="s">
        <v>23</v>
      </c>
      <c r="E205" s="2" t="s">
        <v>24</v>
      </c>
      <c r="F205" s="2" t="s">
        <v>25</v>
      </c>
      <c r="G205" s="2">
        <f>91-11-26514044</f>
        <v>-26513964</v>
      </c>
      <c r="H205" s="3" t="s">
        <v>26</v>
      </c>
      <c r="I205" s="3" t="s">
        <v>27</v>
      </c>
      <c r="J205" s="2" t="s">
        <v>406</v>
      </c>
      <c r="K205" s="2"/>
      <c r="L205" s="2"/>
      <c r="M205" s="2" t="s">
        <v>1016</v>
      </c>
      <c r="N205" s="2"/>
      <c r="O205" s="2"/>
      <c r="P205" s="2" t="s">
        <v>31</v>
      </c>
      <c r="Q205" s="4">
        <v>45981</v>
      </c>
      <c r="R205" s="2" t="s">
        <v>1017</v>
      </c>
      <c r="S205" s="2">
        <v>1</v>
      </c>
      <c r="T205" s="2" t="s">
        <v>1018</v>
      </c>
      <c r="U205" s="2" t="s">
        <v>34</v>
      </c>
    </row>
    <row r="206" spans="1:21" ht="120" x14ac:dyDescent="0.25">
      <c r="A206" s="2">
        <v>14</v>
      </c>
      <c r="B206" s="2" t="s">
        <v>1019</v>
      </c>
      <c r="C206" s="2" t="s">
        <v>22</v>
      </c>
      <c r="D206" s="2" t="s">
        <v>23</v>
      </c>
      <c r="E206" s="2" t="s">
        <v>24</v>
      </c>
      <c r="F206" s="2" t="s">
        <v>897</v>
      </c>
      <c r="G206" s="2">
        <f>91-11-26135256</f>
        <v>-26135176</v>
      </c>
      <c r="H206" s="3" t="s">
        <v>1020</v>
      </c>
      <c r="I206" s="3" t="s">
        <v>1021</v>
      </c>
      <c r="J206" s="2" t="s">
        <v>1022</v>
      </c>
      <c r="K206" s="2"/>
      <c r="L206" s="2"/>
      <c r="M206" s="2" t="s">
        <v>1023</v>
      </c>
      <c r="N206" s="2"/>
      <c r="O206" s="2"/>
      <c r="P206" s="2" t="s">
        <v>31</v>
      </c>
      <c r="Q206" s="4">
        <v>45981</v>
      </c>
      <c r="R206" s="2" t="s">
        <v>1024</v>
      </c>
      <c r="S206" s="2">
        <v>1</v>
      </c>
      <c r="T206" s="2" t="s">
        <v>1018</v>
      </c>
      <c r="U206" s="2" t="s">
        <v>34</v>
      </c>
    </row>
    <row r="207" spans="1:21" ht="105" x14ac:dyDescent="0.25">
      <c r="A207" s="2">
        <v>14</v>
      </c>
      <c r="B207" s="2" t="s">
        <v>1025</v>
      </c>
      <c r="C207" s="2" t="s">
        <v>233</v>
      </c>
      <c r="D207" s="2" t="s">
        <v>1026</v>
      </c>
      <c r="E207" s="2" t="s">
        <v>1027</v>
      </c>
      <c r="F207" s="2" t="s">
        <v>49</v>
      </c>
      <c r="G207" s="2">
        <f>91-381-2350707</f>
        <v>-2350997</v>
      </c>
      <c r="H207" s="3" t="s">
        <v>1028</v>
      </c>
      <c r="I207" s="2"/>
      <c r="J207" s="2" t="s">
        <v>1027</v>
      </c>
      <c r="K207" s="2"/>
      <c r="L207" s="2"/>
      <c r="M207" s="2"/>
      <c r="N207" s="2"/>
      <c r="O207" s="2"/>
      <c r="P207" s="2" t="s">
        <v>31</v>
      </c>
      <c r="Q207" s="4">
        <v>45981</v>
      </c>
      <c r="R207" s="2" t="s">
        <v>1029</v>
      </c>
      <c r="S207" s="2">
        <v>1</v>
      </c>
      <c r="T207" s="2" t="s">
        <v>1018</v>
      </c>
      <c r="U207" s="2" t="s">
        <v>34</v>
      </c>
    </row>
    <row r="208" spans="1:21" ht="90" x14ac:dyDescent="0.25">
      <c r="A208" s="2">
        <v>14</v>
      </c>
      <c r="B208" s="2" t="s">
        <v>1030</v>
      </c>
      <c r="C208" s="2" t="s">
        <v>233</v>
      </c>
      <c r="D208" s="2" t="s">
        <v>397</v>
      </c>
      <c r="E208" s="2" t="s">
        <v>1031</v>
      </c>
      <c r="F208" s="2" t="s">
        <v>49</v>
      </c>
      <c r="G208" s="2">
        <f>91-361-2330741</f>
        <v>-2331011</v>
      </c>
      <c r="H208" s="3" t="s">
        <v>1032</v>
      </c>
      <c r="I208" s="3" t="s">
        <v>1033</v>
      </c>
      <c r="J208" s="2" t="s">
        <v>1034</v>
      </c>
      <c r="K208" s="2"/>
      <c r="L208" s="2" t="s">
        <v>1035</v>
      </c>
      <c r="M208" s="2"/>
      <c r="N208" s="2"/>
      <c r="O208" s="2"/>
      <c r="P208" s="2" t="s">
        <v>31</v>
      </c>
      <c r="Q208" s="4">
        <v>45981</v>
      </c>
      <c r="R208" s="2" t="s">
        <v>1036</v>
      </c>
      <c r="S208" s="2">
        <v>1</v>
      </c>
      <c r="T208" s="2" t="s">
        <v>1018</v>
      </c>
      <c r="U208" s="2" t="s">
        <v>34</v>
      </c>
    </row>
    <row r="209" spans="1:21" ht="120" x14ac:dyDescent="0.25">
      <c r="A209" s="2">
        <v>14</v>
      </c>
      <c r="B209" s="2" t="s">
        <v>1037</v>
      </c>
      <c r="C209" s="2" t="s">
        <v>1038</v>
      </c>
      <c r="D209" s="2" t="s">
        <v>1026</v>
      </c>
      <c r="E209" s="2" t="s">
        <v>1027</v>
      </c>
      <c r="F209" s="2" t="s">
        <v>59</v>
      </c>
      <c r="G209" s="2">
        <f>91-381-2324181</f>
        <v>-2324471</v>
      </c>
      <c r="H209" s="3" t="s">
        <v>1039</v>
      </c>
      <c r="I209" s="2"/>
      <c r="J209" s="2" t="s">
        <v>1027</v>
      </c>
      <c r="K209" s="2"/>
      <c r="L209" s="2" t="s">
        <v>1040</v>
      </c>
      <c r="M209" s="2"/>
      <c r="N209" s="2"/>
      <c r="O209" s="2"/>
      <c r="P209" s="2" t="s">
        <v>31</v>
      </c>
      <c r="Q209" s="4">
        <v>45971</v>
      </c>
      <c r="R209" s="2"/>
      <c r="S209" s="2">
        <v>1</v>
      </c>
      <c r="T209" s="2" t="s">
        <v>1018</v>
      </c>
      <c r="U209" s="2" t="s">
        <v>34</v>
      </c>
    </row>
    <row r="210" spans="1:21" ht="75" x14ac:dyDescent="0.25">
      <c r="A210" s="2">
        <v>14</v>
      </c>
      <c r="B210" s="2" t="s">
        <v>1041</v>
      </c>
      <c r="C210" s="2" t="s">
        <v>56</v>
      </c>
      <c r="D210" s="2" t="s">
        <v>397</v>
      </c>
      <c r="E210" s="2" t="s">
        <v>1031</v>
      </c>
      <c r="F210" s="2" t="s">
        <v>59</v>
      </c>
      <c r="G210" s="2">
        <f>91-361-2203665</f>
        <v>-2203935</v>
      </c>
      <c r="H210" s="2"/>
      <c r="I210" s="2"/>
      <c r="J210" s="2" t="s">
        <v>1042</v>
      </c>
      <c r="K210" s="2"/>
      <c r="L210" s="2" t="s">
        <v>1043</v>
      </c>
      <c r="M210" s="2"/>
      <c r="N210" s="2"/>
      <c r="O210" s="2"/>
      <c r="P210" s="2" t="s">
        <v>31</v>
      </c>
      <c r="Q210" s="4">
        <v>45971</v>
      </c>
      <c r="R210" s="2"/>
      <c r="S210" s="2">
        <v>1</v>
      </c>
      <c r="T210" s="2" t="s">
        <v>1018</v>
      </c>
      <c r="U210" s="2" t="s">
        <v>34</v>
      </c>
    </row>
    <row r="211" spans="1:21" ht="90" x14ac:dyDescent="0.25">
      <c r="A211" s="2">
        <v>14</v>
      </c>
      <c r="B211" s="2" t="s">
        <v>1044</v>
      </c>
      <c r="C211" s="2" t="s">
        <v>56</v>
      </c>
      <c r="D211" s="2" t="s">
        <v>397</v>
      </c>
      <c r="E211" s="2" t="s">
        <v>398</v>
      </c>
      <c r="F211" s="2" t="s">
        <v>49</v>
      </c>
      <c r="G211" s="2">
        <f>91-9957190001</f>
        <v>-9957189910</v>
      </c>
      <c r="H211" s="3" t="s">
        <v>1045</v>
      </c>
      <c r="I211" s="2"/>
      <c r="J211" s="2" t="s">
        <v>1046</v>
      </c>
      <c r="K211" s="2"/>
      <c r="L211" s="2" t="s">
        <v>1047</v>
      </c>
      <c r="M211" s="2"/>
      <c r="N211" s="2"/>
      <c r="O211" s="2"/>
      <c r="P211" s="2" t="s">
        <v>31</v>
      </c>
      <c r="Q211" s="4">
        <v>45971</v>
      </c>
      <c r="R211" s="2" t="s">
        <v>1048</v>
      </c>
      <c r="S211" s="2">
        <v>1</v>
      </c>
      <c r="T211" s="2" t="s">
        <v>1018</v>
      </c>
      <c r="U211" s="2" t="s">
        <v>34</v>
      </c>
    </row>
    <row r="212" spans="1:21" ht="60" x14ac:dyDescent="0.25">
      <c r="A212" s="2">
        <v>14</v>
      </c>
      <c r="B212" s="2" t="s">
        <v>1049</v>
      </c>
      <c r="C212" s="2" t="s">
        <v>56</v>
      </c>
      <c r="D212" s="2" t="s">
        <v>36</v>
      </c>
      <c r="E212" s="2" t="s">
        <v>1050</v>
      </c>
      <c r="F212" s="2" t="s">
        <v>59</v>
      </c>
      <c r="G212" s="2">
        <f>91-712-2244000</f>
        <v>-2244621</v>
      </c>
      <c r="H212" s="3" t="s">
        <v>1051</v>
      </c>
      <c r="I212" s="3" t="s">
        <v>1052</v>
      </c>
      <c r="J212" s="2" t="s">
        <v>1053</v>
      </c>
      <c r="K212" s="2"/>
      <c r="L212" s="2" t="s">
        <v>1054</v>
      </c>
      <c r="M212" s="2"/>
      <c r="N212" s="2"/>
      <c r="O212" s="2"/>
      <c r="P212" s="2" t="s">
        <v>31</v>
      </c>
      <c r="Q212" s="4">
        <v>45971</v>
      </c>
      <c r="R212" s="2"/>
      <c r="S212" s="2">
        <v>1</v>
      </c>
      <c r="T212" s="2" t="s">
        <v>1018</v>
      </c>
      <c r="U212" s="2" t="s">
        <v>34</v>
      </c>
    </row>
    <row r="213" spans="1:21" ht="60" x14ac:dyDescent="0.25">
      <c r="A213" s="2">
        <v>14</v>
      </c>
      <c r="B213" s="2" t="s">
        <v>1055</v>
      </c>
      <c r="C213" s="2" t="s">
        <v>56</v>
      </c>
      <c r="D213" s="2" t="s">
        <v>126</v>
      </c>
      <c r="E213" s="2" t="s">
        <v>127</v>
      </c>
      <c r="F213" s="2" t="s">
        <v>49</v>
      </c>
      <c r="G213" s="2">
        <f>91-484-4050500</f>
        <v>-4050893</v>
      </c>
      <c r="H213" s="3" t="s">
        <v>1056</v>
      </c>
      <c r="I213" s="3" t="s">
        <v>1057</v>
      </c>
      <c r="J213" s="2" t="s">
        <v>688</v>
      </c>
      <c r="K213" s="2"/>
      <c r="L213" s="2" t="s">
        <v>1058</v>
      </c>
      <c r="M213" s="2"/>
      <c r="N213" s="2"/>
      <c r="O213" s="2"/>
      <c r="P213" s="2" t="s">
        <v>31</v>
      </c>
      <c r="Q213" s="4">
        <v>45971</v>
      </c>
      <c r="R213" s="2"/>
      <c r="S213" s="2">
        <v>1</v>
      </c>
      <c r="T213" s="2" t="s">
        <v>1018</v>
      </c>
      <c r="U213" s="2" t="s">
        <v>34</v>
      </c>
    </row>
    <row r="214" spans="1:21" ht="105" x14ac:dyDescent="0.25">
      <c r="A214" s="2">
        <v>14</v>
      </c>
      <c r="B214" s="2" t="s">
        <v>1059</v>
      </c>
      <c r="C214" s="2" t="s">
        <v>426</v>
      </c>
      <c r="D214" s="2" t="s">
        <v>1060</v>
      </c>
      <c r="E214" s="2" t="s">
        <v>1061</v>
      </c>
      <c r="F214" s="2" t="s">
        <v>655</v>
      </c>
      <c r="G214" s="2"/>
      <c r="H214" s="2"/>
      <c r="I214" s="2"/>
      <c r="J214" s="2" t="s">
        <v>1062</v>
      </c>
      <c r="K214" s="2"/>
      <c r="L214" s="2" t="s">
        <v>1063</v>
      </c>
      <c r="M214" s="2"/>
      <c r="N214" s="2"/>
      <c r="O214" s="2"/>
      <c r="P214" s="2" t="s">
        <v>31</v>
      </c>
      <c r="Q214" s="4">
        <v>45981</v>
      </c>
      <c r="R214" s="2" t="s">
        <v>1064</v>
      </c>
      <c r="S214" s="2">
        <v>1</v>
      </c>
      <c r="T214" s="2" t="s">
        <v>1018</v>
      </c>
      <c r="U214" s="2" t="s">
        <v>34</v>
      </c>
    </row>
    <row r="215" spans="1:21" ht="120" x14ac:dyDescent="0.25">
      <c r="A215" s="2">
        <v>14</v>
      </c>
      <c r="B215" s="2" t="s">
        <v>1065</v>
      </c>
      <c r="C215" s="2" t="s">
        <v>1066</v>
      </c>
      <c r="D215" s="2" t="s">
        <v>23</v>
      </c>
      <c r="E215" s="2" t="s">
        <v>24</v>
      </c>
      <c r="F215" s="2" t="s">
        <v>49</v>
      </c>
      <c r="G215" s="2">
        <f>91-11-26510264</f>
        <v>-26510184</v>
      </c>
      <c r="H215" s="2"/>
      <c r="I215" s="2"/>
      <c r="J215" s="2" t="s">
        <v>1067</v>
      </c>
      <c r="K215" s="2"/>
      <c r="L215" s="2" t="s">
        <v>1068</v>
      </c>
      <c r="M215" s="2"/>
      <c r="N215" s="2"/>
      <c r="O215" s="2"/>
      <c r="P215" s="2" t="s">
        <v>31</v>
      </c>
      <c r="Q215" s="4">
        <v>45981</v>
      </c>
      <c r="R215" s="2"/>
      <c r="S215" s="2">
        <v>1</v>
      </c>
      <c r="T215" s="2" t="s">
        <v>1018</v>
      </c>
      <c r="U215" s="2" t="s">
        <v>34</v>
      </c>
    </row>
    <row r="216" spans="1:21" ht="4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17</v>
      </c>
      <c r="S216" s="1" t="s">
        <v>18</v>
      </c>
      <c r="T216" s="1" t="s">
        <v>19</v>
      </c>
      <c r="U216" s="1" t="s">
        <v>20</v>
      </c>
    </row>
    <row r="217" spans="1:21" ht="180" x14ac:dyDescent="0.25">
      <c r="A217" s="2">
        <v>15</v>
      </c>
      <c r="B217" s="2" t="s">
        <v>21</v>
      </c>
      <c r="C217" s="2" t="s">
        <v>22</v>
      </c>
      <c r="D217" s="2" t="s">
        <v>23</v>
      </c>
      <c r="E217" s="2" t="s">
        <v>24</v>
      </c>
      <c r="F217" s="2" t="s">
        <v>25</v>
      </c>
      <c r="G217" s="2">
        <f>91-11-26514044</f>
        <v>-26513964</v>
      </c>
      <c r="H217" s="3" t="s">
        <v>26</v>
      </c>
      <c r="I217" s="3" t="s">
        <v>27</v>
      </c>
      <c r="J217" s="2" t="s">
        <v>406</v>
      </c>
      <c r="K217" s="2"/>
      <c r="L217" s="2"/>
      <c r="M217" s="2" t="s">
        <v>1069</v>
      </c>
      <c r="N217" s="2"/>
      <c r="O217" s="2"/>
      <c r="P217" s="2" t="s">
        <v>31</v>
      </c>
      <c r="Q217" s="4">
        <v>45981</v>
      </c>
      <c r="R217" s="2" t="s">
        <v>1070</v>
      </c>
      <c r="S217" s="2">
        <v>1</v>
      </c>
      <c r="T217" s="2" t="s">
        <v>1071</v>
      </c>
      <c r="U217" s="2" t="s">
        <v>34</v>
      </c>
    </row>
    <row r="218" spans="1:21" ht="120" x14ac:dyDescent="0.25">
      <c r="A218" s="2">
        <v>15</v>
      </c>
      <c r="B218" s="2" t="s">
        <v>1072</v>
      </c>
      <c r="C218" s="2" t="s">
        <v>22</v>
      </c>
      <c r="D218" s="2" t="s">
        <v>23</v>
      </c>
      <c r="E218" s="2" t="s">
        <v>24</v>
      </c>
      <c r="F218" s="2" t="s">
        <v>49</v>
      </c>
      <c r="G218" s="2">
        <f>91-11-23341252</f>
        <v>-23341172</v>
      </c>
      <c r="H218" s="3" t="s">
        <v>50</v>
      </c>
      <c r="I218" s="3" t="s">
        <v>51</v>
      </c>
      <c r="J218" s="2" t="s">
        <v>337</v>
      </c>
      <c r="K218" s="2"/>
      <c r="L218" s="2" t="s">
        <v>1073</v>
      </c>
      <c r="M218" s="2"/>
      <c r="N218" s="2"/>
      <c r="O218" s="2"/>
      <c r="P218" s="2" t="s">
        <v>31</v>
      </c>
      <c r="Q218" s="4">
        <v>45981</v>
      </c>
      <c r="R218" s="2" t="s">
        <v>167</v>
      </c>
      <c r="S218" s="2">
        <v>1</v>
      </c>
      <c r="T218" s="2" t="s">
        <v>1071</v>
      </c>
      <c r="U218" s="2" t="s">
        <v>34</v>
      </c>
    </row>
    <row r="219" spans="1:21" ht="150" x14ac:dyDescent="0.25">
      <c r="A219" s="2">
        <v>15</v>
      </c>
      <c r="B219" s="2" t="s">
        <v>1074</v>
      </c>
      <c r="C219" s="2" t="s">
        <v>56</v>
      </c>
      <c r="D219" s="2" t="s">
        <v>153</v>
      </c>
      <c r="E219" s="2" t="s">
        <v>234</v>
      </c>
      <c r="F219" s="2" t="s">
        <v>59</v>
      </c>
      <c r="G219" s="2">
        <f>91-2692-258506</f>
        <v>-261107</v>
      </c>
      <c r="H219" s="3" t="s">
        <v>270</v>
      </c>
      <c r="I219" s="3" t="s">
        <v>271</v>
      </c>
      <c r="J219" s="2" t="s">
        <v>272</v>
      </c>
      <c r="K219" s="2"/>
      <c r="L219" s="2" t="s">
        <v>1075</v>
      </c>
      <c r="M219" s="2" t="s">
        <v>1076</v>
      </c>
      <c r="N219" s="2"/>
      <c r="O219" s="2"/>
      <c r="P219" s="2" t="s">
        <v>31</v>
      </c>
      <c r="Q219" s="4">
        <v>45971</v>
      </c>
      <c r="R219" s="2" t="s">
        <v>1077</v>
      </c>
      <c r="S219" s="2">
        <v>1</v>
      </c>
      <c r="T219" s="2" t="s">
        <v>1071</v>
      </c>
      <c r="U219" s="2" t="s">
        <v>34</v>
      </c>
    </row>
    <row r="220" spans="1:21" ht="90" x14ac:dyDescent="0.25">
      <c r="A220" s="2">
        <v>15</v>
      </c>
      <c r="B220" s="2" t="s">
        <v>1078</v>
      </c>
      <c r="C220" s="2" t="s">
        <v>56</v>
      </c>
      <c r="D220" s="2" t="s">
        <v>23</v>
      </c>
      <c r="E220" s="2" t="s">
        <v>24</v>
      </c>
      <c r="F220" s="2" t="s">
        <v>59</v>
      </c>
      <c r="G220" s="2">
        <f>91-11-41512000</f>
        <v>-41511920</v>
      </c>
      <c r="H220" s="3" t="s">
        <v>1079</v>
      </c>
      <c r="I220" s="3" t="s">
        <v>1080</v>
      </c>
      <c r="J220" s="2" t="s">
        <v>1081</v>
      </c>
      <c r="K220" s="2"/>
      <c r="L220" s="2" t="s">
        <v>1082</v>
      </c>
      <c r="M220" s="2"/>
      <c r="N220" s="2"/>
      <c r="O220" s="2"/>
      <c r="P220" s="2" t="s">
        <v>31</v>
      </c>
      <c r="Q220" s="4">
        <v>45971</v>
      </c>
      <c r="R220" s="2" t="s">
        <v>1083</v>
      </c>
      <c r="S220" s="2">
        <v>1</v>
      </c>
      <c r="T220" s="2" t="s">
        <v>1071</v>
      </c>
      <c r="U220" s="2" t="s">
        <v>34</v>
      </c>
    </row>
    <row r="221" spans="1:21" ht="60" x14ac:dyDescent="0.25">
      <c r="A221" s="2">
        <v>15</v>
      </c>
      <c r="B221" s="2" t="s">
        <v>1084</v>
      </c>
      <c r="C221" s="2" t="s">
        <v>56</v>
      </c>
      <c r="D221" s="2" t="s">
        <v>841</v>
      </c>
      <c r="E221" s="2" t="s">
        <v>1085</v>
      </c>
      <c r="F221" s="2" t="s">
        <v>59</v>
      </c>
      <c r="G221" s="2">
        <f>91-172-5041900</f>
        <v>-5041981</v>
      </c>
      <c r="H221" s="3" t="s">
        <v>1086</v>
      </c>
      <c r="I221" s="3" t="s">
        <v>1087</v>
      </c>
      <c r="J221" s="2" t="s">
        <v>1088</v>
      </c>
      <c r="K221" s="2"/>
      <c r="L221" s="2" t="s">
        <v>1089</v>
      </c>
      <c r="M221" s="2"/>
      <c r="N221" s="2"/>
      <c r="O221" s="2"/>
      <c r="P221" s="2" t="s">
        <v>31</v>
      </c>
      <c r="Q221" s="4">
        <v>45971</v>
      </c>
      <c r="R221" s="2"/>
      <c r="S221" s="2">
        <v>1</v>
      </c>
      <c r="T221" s="2" t="s">
        <v>1071</v>
      </c>
      <c r="U221" s="2" t="s">
        <v>34</v>
      </c>
    </row>
    <row r="222" spans="1:21" ht="105" x14ac:dyDescent="0.25">
      <c r="A222" s="2">
        <v>15</v>
      </c>
      <c r="B222" s="2" t="s">
        <v>1090</v>
      </c>
      <c r="C222" s="2" t="s">
        <v>56</v>
      </c>
      <c r="D222" s="2" t="s">
        <v>36</v>
      </c>
      <c r="E222" s="2" t="s">
        <v>95</v>
      </c>
      <c r="F222" s="2" t="s">
        <v>59</v>
      </c>
      <c r="G222" s="2">
        <f>91-20-43000500</f>
        <v>-43000429</v>
      </c>
      <c r="H222" s="3" t="s">
        <v>292</v>
      </c>
      <c r="I222" s="3" t="s">
        <v>293</v>
      </c>
      <c r="J222" s="2" t="s">
        <v>1091</v>
      </c>
      <c r="K222" s="2"/>
      <c r="L222" s="2" t="s">
        <v>1092</v>
      </c>
      <c r="M222" s="2"/>
      <c r="N222" s="2"/>
      <c r="O222" s="2"/>
      <c r="P222" s="2" t="s">
        <v>31</v>
      </c>
      <c r="Q222" s="4">
        <v>45971</v>
      </c>
      <c r="R222" s="2"/>
      <c r="S222" s="2">
        <v>1</v>
      </c>
      <c r="T222" s="2" t="s">
        <v>1071</v>
      </c>
      <c r="U222" s="2" t="s">
        <v>34</v>
      </c>
    </row>
    <row r="223" spans="1:21" ht="75" x14ac:dyDescent="0.25">
      <c r="A223" s="2">
        <v>15</v>
      </c>
      <c r="B223" s="2" t="s">
        <v>1093</v>
      </c>
      <c r="C223" s="2" t="s">
        <v>56</v>
      </c>
      <c r="D223" s="2" t="s">
        <v>370</v>
      </c>
      <c r="E223" s="2" t="s">
        <v>1094</v>
      </c>
      <c r="F223" s="2" t="s">
        <v>59</v>
      </c>
      <c r="G223" s="2">
        <f>91-731-4018000</f>
        <v>-4018640</v>
      </c>
      <c r="H223" s="3" t="s">
        <v>1095</v>
      </c>
      <c r="I223" s="3" t="s">
        <v>1096</v>
      </c>
      <c r="J223" s="2" t="s">
        <v>1097</v>
      </c>
      <c r="K223" s="2"/>
      <c r="L223" s="2" t="s">
        <v>1098</v>
      </c>
      <c r="M223" s="2"/>
      <c r="N223" s="2"/>
      <c r="O223" s="2"/>
      <c r="P223" s="2" t="s">
        <v>31</v>
      </c>
      <c r="Q223" s="4">
        <v>45971</v>
      </c>
      <c r="R223" s="2"/>
      <c r="S223" s="2">
        <v>1</v>
      </c>
      <c r="T223" s="2" t="s">
        <v>1071</v>
      </c>
      <c r="U223" s="2" t="s">
        <v>34</v>
      </c>
    </row>
    <row r="224" spans="1:21" ht="105" x14ac:dyDescent="0.25">
      <c r="A224" s="2">
        <v>15</v>
      </c>
      <c r="B224" s="2" t="s">
        <v>1099</v>
      </c>
      <c r="C224" s="2" t="s">
        <v>56</v>
      </c>
      <c r="D224" s="2" t="s">
        <v>36</v>
      </c>
      <c r="E224" s="2" t="s">
        <v>526</v>
      </c>
      <c r="F224" s="2" t="s">
        <v>527</v>
      </c>
      <c r="G224" s="2">
        <f>91-22-22628000</f>
        <v>-22627931</v>
      </c>
      <c r="H224" s="3" t="s">
        <v>1100</v>
      </c>
      <c r="I224" s="3" t="s">
        <v>61</v>
      </c>
      <c r="J224" s="2" t="s">
        <v>1101</v>
      </c>
      <c r="K224" s="2"/>
      <c r="L224" s="2" t="s">
        <v>1102</v>
      </c>
      <c r="M224" s="2"/>
      <c r="N224" s="2"/>
      <c r="O224" s="2"/>
      <c r="P224" s="2" t="s">
        <v>31</v>
      </c>
      <c r="Q224" s="4">
        <v>45971</v>
      </c>
      <c r="R224" s="2" t="s">
        <v>1103</v>
      </c>
      <c r="S224" s="2">
        <v>1</v>
      </c>
      <c r="T224" s="2" t="s">
        <v>1071</v>
      </c>
      <c r="U224" s="2" t="s">
        <v>34</v>
      </c>
    </row>
    <row r="225" spans="1:21" ht="90" x14ac:dyDescent="0.25">
      <c r="A225" s="2">
        <v>15</v>
      </c>
      <c r="B225" s="2" t="s">
        <v>1104</v>
      </c>
      <c r="C225" s="2" t="s">
        <v>56</v>
      </c>
      <c r="D225" s="2" t="s">
        <v>43</v>
      </c>
      <c r="E225" s="2" t="s">
        <v>44</v>
      </c>
      <c r="F225" s="2" t="s">
        <v>527</v>
      </c>
      <c r="G225" s="2">
        <f>91-40-23090234</f>
        <v>-23090183</v>
      </c>
      <c r="H225" s="2"/>
      <c r="I225" s="3" t="s">
        <v>67</v>
      </c>
      <c r="J225" s="2" t="s">
        <v>1105</v>
      </c>
      <c r="K225" s="2"/>
      <c r="L225" s="2" t="s">
        <v>1106</v>
      </c>
      <c r="M225" s="2"/>
      <c r="N225" s="2"/>
      <c r="O225" s="2"/>
      <c r="P225" s="2" t="s">
        <v>31</v>
      </c>
      <c r="Q225" s="4">
        <v>45971</v>
      </c>
      <c r="R225" s="2"/>
      <c r="S225" s="2">
        <v>1</v>
      </c>
      <c r="T225" s="2" t="s">
        <v>1071</v>
      </c>
      <c r="U225" s="2" t="s">
        <v>34</v>
      </c>
    </row>
    <row r="226" spans="1:21" ht="120" x14ac:dyDescent="0.25">
      <c r="A226" s="2">
        <v>15</v>
      </c>
      <c r="B226" s="2" t="s">
        <v>1107</v>
      </c>
      <c r="C226" s="2" t="s">
        <v>56</v>
      </c>
      <c r="D226" s="2" t="s">
        <v>36</v>
      </c>
      <c r="E226" s="2" t="s">
        <v>526</v>
      </c>
      <c r="F226" s="2" t="s">
        <v>1108</v>
      </c>
      <c r="G226" s="2">
        <f>91-22-25188010</f>
        <v>-25187941</v>
      </c>
      <c r="H226" s="2"/>
      <c r="I226" s="3" t="s">
        <v>1109</v>
      </c>
      <c r="J226" s="2" t="s">
        <v>1110</v>
      </c>
      <c r="K226" s="2"/>
      <c r="L226" s="2" t="s">
        <v>1111</v>
      </c>
      <c r="M226" s="2"/>
      <c r="N226" s="2"/>
      <c r="O226" s="2"/>
      <c r="P226" s="2" t="s">
        <v>31</v>
      </c>
      <c r="Q226" s="4">
        <v>45971</v>
      </c>
      <c r="R226" s="2"/>
      <c r="S226" s="2">
        <v>1</v>
      </c>
      <c r="T226" s="2" t="s">
        <v>1071</v>
      </c>
      <c r="U226" s="2" t="s">
        <v>34</v>
      </c>
    </row>
    <row r="227" spans="1:21" ht="135" x14ac:dyDescent="0.25">
      <c r="A227" s="2">
        <v>15</v>
      </c>
      <c r="B227" s="2" t="s">
        <v>1112</v>
      </c>
      <c r="C227" s="2" t="s">
        <v>119</v>
      </c>
      <c r="D227" s="2" t="s">
        <v>321</v>
      </c>
      <c r="E227" s="2" t="s">
        <v>322</v>
      </c>
      <c r="F227" s="2" t="s">
        <v>49</v>
      </c>
      <c r="G227" s="2">
        <f>91-184-2259008</f>
        <v>-2259101</v>
      </c>
      <c r="H227" s="3" t="s">
        <v>323</v>
      </c>
      <c r="I227" s="3" t="s">
        <v>324</v>
      </c>
      <c r="J227" s="2" t="s">
        <v>1113</v>
      </c>
      <c r="K227" s="2"/>
      <c r="L227" s="2" t="s">
        <v>1114</v>
      </c>
      <c r="M227" s="2"/>
      <c r="N227" s="2"/>
      <c r="O227" s="2"/>
      <c r="P227" s="2" t="s">
        <v>31</v>
      </c>
      <c r="Q227" s="4">
        <v>45981</v>
      </c>
      <c r="R227" s="2"/>
      <c r="S227" s="2">
        <v>1</v>
      </c>
      <c r="T227" s="2" t="s">
        <v>1071</v>
      </c>
      <c r="U227" s="2" t="s">
        <v>34</v>
      </c>
    </row>
    <row r="228" spans="1:21" ht="45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G228" s="1" t="s">
        <v>6</v>
      </c>
      <c r="H228" s="1" t="s">
        <v>7</v>
      </c>
      <c r="I228" s="1" t="s">
        <v>8</v>
      </c>
      <c r="J228" s="1" t="s">
        <v>9</v>
      </c>
      <c r="K228" s="1" t="s">
        <v>10</v>
      </c>
      <c r="L228" s="1" t="s">
        <v>11</v>
      </c>
      <c r="M228" s="1" t="s">
        <v>12</v>
      </c>
      <c r="N228" s="1" t="s">
        <v>13</v>
      </c>
      <c r="O228" s="1" t="s">
        <v>14</v>
      </c>
      <c r="P228" s="1" t="s">
        <v>15</v>
      </c>
      <c r="Q228" s="1" t="s">
        <v>16</v>
      </c>
      <c r="R228" s="1" t="s">
        <v>17</v>
      </c>
      <c r="S228" s="1" t="s">
        <v>18</v>
      </c>
      <c r="T228" s="1" t="s">
        <v>19</v>
      </c>
      <c r="U228" s="1" t="s">
        <v>20</v>
      </c>
    </row>
    <row r="229" spans="1:21" ht="180" x14ac:dyDescent="0.25">
      <c r="A229" s="2">
        <v>16</v>
      </c>
      <c r="B229" s="2" t="s">
        <v>1115</v>
      </c>
      <c r="C229" s="2" t="s">
        <v>22</v>
      </c>
      <c r="D229" s="2" t="s">
        <v>23</v>
      </c>
      <c r="E229" s="2" t="s">
        <v>24</v>
      </c>
      <c r="F229" s="2" t="s">
        <v>25</v>
      </c>
      <c r="G229" s="2">
        <f>91-11-26514044</f>
        <v>-26513964</v>
      </c>
      <c r="H229" s="3" t="s">
        <v>26</v>
      </c>
      <c r="I229" s="3" t="s">
        <v>27</v>
      </c>
      <c r="J229" s="2" t="s">
        <v>1116</v>
      </c>
      <c r="K229" s="2"/>
      <c r="L229" s="2"/>
      <c r="M229" s="2" t="s">
        <v>1117</v>
      </c>
      <c r="N229" s="2"/>
      <c r="O229" s="2"/>
      <c r="P229" s="2" t="s">
        <v>31</v>
      </c>
      <c r="Q229" s="4">
        <v>45981</v>
      </c>
      <c r="R229" s="2" t="s">
        <v>1118</v>
      </c>
      <c r="S229" s="2">
        <v>1</v>
      </c>
      <c r="T229" s="2" t="s">
        <v>1119</v>
      </c>
      <c r="U229" s="2" t="s">
        <v>34</v>
      </c>
    </row>
    <row r="230" spans="1:21" ht="120" x14ac:dyDescent="0.25">
      <c r="A230" s="2">
        <v>16</v>
      </c>
      <c r="B230" s="2" t="s">
        <v>1120</v>
      </c>
      <c r="C230" s="2" t="s">
        <v>22</v>
      </c>
      <c r="D230" s="2" t="s">
        <v>23</v>
      </c>
      <c r="E230" s="2" t="s">
        <v>24</v>
      </c>
      <c r="F230" s="2" t="s">
        <v>49</v>
      </c>
      <c r="G230" s="2">
        <f>91-11-23341252</f>
        <v>-23341172</v>
      </c>
      <c r="H230" s="3" t="s">
        <v>50</v>
      </c>
      <c r="I230" s="3" t="s">
        <v>51</v>
      </c>
      <c r="J230" s="2" t="s">
        <v>1121</v>
      </c>
      <c r="K230" s="2"/>
      <c r="L230" s="2" t="s">
        <v>1122</v>
      </c>
      <c r="M230" s="2"/>
      <c r="N230" s="2"/>
      <c r="O230" s="2"/>
      <c r="P230" s="2" t="s">
        <v>31</v>
      </c>
      <c r="Q230" s="4">
        <v>45981</v>
      </c>
      <c r="R230" s="2" t="s">
        <v>339</v>
      </c>
      <c r="S230" s="2">
        <v>1</v>
      </c>
      <c r="T230" s="2" t="s">
        <v>1119</v>
      </c>
      <c r="U230" s="2" t="s">
        <v>34</v>
      </c>
    </row>
    <row r="231" spans="1:21" ht="120" x14ac:dyDescent="0.25">
      <c r="A231" s="2">
        <v>16</v>
      </c>
      <c r="B231" s="2" t="s">
        <v>1123</v>
      </c>
      <c r="C231" s="2" t="s">
        <v>56</v>
      </c>
      <c r="D231" s="2" t="s">
        <v>36</v>
      </c>
      <c r="E231" s="2" t="s">
        <v>526</v>
      </c>
      <c r="F231" s="2" t="s">
        <v>1124</v>
      </c>
      <c r="G231" s="2">
        <f>91-22-22628000</f>
        <v>-22627931</v>
      </c>
      <c r="H231" s="3" t="s">
        <v>1125</v>
      </c>
      <c r="I231" s="3" t="s">
        <v>61</v>
      </c>
      <c r="J231" s="2" t="s">
        <v>1126</v>
      </c>
      <c r="K231" s="2"/>
      <c r="L231" s="2" t="s">
        <v>244</v>
      </c>
      <c r="M231" s="2"/>
      <c r="N231" s="2"/>
      <c r="O231" s="2"/>
      <c r="P231" s="2" t="s">
        <v>31</v>
      </c>
      <c r="Q231" s="4">
        <v>45971</v>
      </c>
      <c r="R231" s="2" t="s">
        <v>1127</v>
      </c>
      <c r="S231" s="2">
        <v>1</v>
      </c>
      <c r="T231" s="2" t="s">
        <v>1119</v>
      </c>
      <c r="U231" s="2" t="s">
        <v>34</v>
      </c>
    </row>
    <row r="232" spans="1:21" ht="90" x14ac:dyDescent="0.25">
      <c r="A232" s="2">
        <v>16</v>
      </c>
      <c r="B232" s="2" t="s">
        <v>1128</v>
      </c>
      <c r="C232" s="2" t="s">
        <v>56</v>
      </c>
      <c r="D232" s="2" t="s">
        <v>43</v>
      </c>
      <c r="E232" s="2" t="s">
        <v>65</v>
      </c>
      <c r="F232" s="2" t="s">
        <v>527</v>
      </c>
      <c r="G232" s="2">
        <f>91-40-23090234</f>
        <v>-23090183</v>
      </c>
      <c r="H232" s="2"/>
      <c r="I232" s="3" t="s">
        <v>67</v>
      </c>
      <c r="J232" s="2" t="s">
        <v>1129</v>
      </c>
      <c r="K232" s="2"/>
      <c r="L232" s="2" t="s">
        <v>1130</v>
      </c>
      <c r="M232" s="2"/>
      <c r="N232" s="2"/>
      <c r="O232" s="2"/>
      <c r="P232" s="2" t="s">
        <v>31</v>
      </c>
      <c r="Q232" s="4">
        <v>45971</v>
      </c>
      <c r="R232" s="2" t="s">
        <v>1131</v>
      </c>
      <c r="S232" s="2">
        <v>1</v>
      </c>
      <c r="T232" s="2" t="s">
        <v>1119</v>
      </c>
      <c r="U232" s="2" t="s">
        <v>34</v>
      </c>
    </row>
    <row r="233" spans="1:21" ht="90" x14ac:dyDescent="0.25">
      <c r="A233" s="2">
        <v>16</v>
      </c>
      <c r="B233" s="2" t="s">
        <v>1132</v>
      </c>
      <c r="C233" s="2" t="s">
        <v>56</v>
      </c>
      <c r="D233" s="2" t="s">
        <v>36</v>
      </c>
      <c r="E233" s="2" t="s">
        <v>95</v>
      </c>
      <c r="F233" s="2" t="s">
        <v>59</v>
      </c>
      <c r="G233" s="2">
        <f>91-20-26810300</f>
        <v>-26810229</v>
      </c>
      <c r="H233" s="3" t="s">
        <v>96</v>
      </c>
      <c r="I233" s="3" t="s">
        <v>97</v>
      </c>
      <c r="J233" s="2" t="s">
        <v>1133</v>
      </c>
      <c r="K233" s="2"/>
      <c r="L233" s="2" t="s">
        <v>1134</v>
      </c>
      <c r="M233" s="2"/>
      <c r="N233" s="2"/>
      <c r="O233" s="2"/>
      <c r="P233" s="2" t="s">
        <v>31</v>
      </c>
      <c r="Q233" s="4">
        <v>45971</v>
      </c>
      <c r="R233" s="2" t="s">
        <v>1135</v>
      </c>
      <c r="S233" s="2">
        <v>1</v>
      </c>
      <c r="T233" s="2" t="s">
        <v>1119</v>
      </c>
      <c r="U233" s="2" t="s">
        <v>34</v>
      </c>
    </row>
    <row r="234" spans="1:21" ht="75" x14ac:dyDescent="0.25">
      <c r="A234" s="2">
        <v>16</v>
      </c>
      <c r="B234" s="2" t="s">
        <v>1136</v>
      </c>
      <c r="C234" s="2" t="s">
        <v>56</v>
      </c>
      <c r="D234" s="2" t="s">
        <v>126</v>
      </c>
      <c r="E234" s="2" t="s">
        <v>688</v>
      </c>
      <c r="F234" s="2" t="s">
        <v>59</v>
      </c>
      <c r="G234" s="2">
        <f>91-484-3002000</f>
        <v>-3002393</v>
      </c>
      <c r="H234" s="3" t="s">
        <v>1137</v>
      </c>
      <c r="I234" s="3" t="s">
        <v>1138</v>
      </c>
      <c r="J234" s="2" t="s">
        <v>688</v>
      </c>
      <c r="K234" s="2"/>
      <c r="L234" s="2" t="s">
        <v>1139</v>
      </c>
      <c r="M234" s="2"/>
      <c r="N234" s="2"/>
      <c r="O234" s="2"/>
      <c r="P234" s="2" t="s">
        <v>31</v>
      </c>
      <c r="Q234" s="4">
        <v>45971</v>
      </c>
      <c r="R234" s="2"/>
      <c r="S234" s="2">
        <v>1</v>
      </c>
      <c r="T234" s="2" t="s">
        <v>1119</v>
      </c>
      <c r="U234" s="2" t="s">
        <v>34</v>
      </c>
    </row>
    <row r="235" spans="1:21" ht="135" x14ac:dyDescent="0.25">
      <c r="A235" s="2">
        <v>16</v>
      </c>
      <c r="B235" s="2" t="s">
        <v>1140</v>
      </c>
      <c r="C235" s="2" t="s">
        <v>56</v>
      </c>
      <c r="D235" s="2" t="s">
        <v>36</v>
      </c>
      <c r="E235" s="2" t="s">
        <v>526</v>
      </c>
      <c r="F235" s="2" t="s">
        <v>113</v>
      </c>
      <c r="G235" s="2">
        <f>91-22-25194000</f>
        <v>-25193931</v>
      </c>
      <c r="H235" s="2"/>
      <c r="I235" s="3" t="s">
        <v>1141</v>
      </c>
      <c r="J235" s="2" t="s">
        <v>1142</v>
      </c>
      <c r="K235" s="2"/>
      <c r="L235" s="2" t="s">
        <v>1143</v>
      </c>
      <c r="M235" s="2"/>
      <c r="N235" s="2"/>
      <c r="O235" s="2"/>
      <c r="P235" s="2" t="s">
        <v>31</v>
      </c>
      <c r="Q235" s="4">
        <v>45971</v>
      </c>
      <c r="R235" s="2"/>
      <c r="S235" s="2">
        <v>1</v>
      </c>
      <c r="T235" s="2" t="s">
        <v>1119</v>
      </c>
      <c r="U235" s="2" t="s">
        <v>34</v>
      </c>
    </row>
    <row r="236" spans="1:21" ht="90" x14ac:dyDescent="0.25">
      <c r="A236" s="2">
        <v>16</v>
      </c>
      <c r="B236" s="2" t="s">
        <v>1144</v>
      </c>
      <c r="C236" s="2" t="s">
        <v>56</v>
      </c>
      <c r="D236" s="2" t="s">
        <v>57</v>
      </c>
      <c r="E236" s="2" t="s">
        <v>72</v>
      </c>
      <c r="F236" s="2" t="s">
        <v>49</v>
      </c>
      <c r="G236" s="2">
        <f>91-571-2510000</f>
        <v>-2510480</v>
      </c>
      <c r="H236" s="2"/>
      <c r="I236" s="2"/>
      <c r="J236" s="2" t="s">
        <v>72</v>
      </c>
      <c r="K236" s="2"/>
      <c r="L236" s="2" t="s">
        <v>1145</v>
      </c>
      <c r="M236" s="2"/>
      <c r="N236" s="2"/>
      <c r="O236" s="2"/>
      <c r="P236" s="2" t="s">
        <v>31</v>
      </c>
      <c r="Q236" s="4">
        <v>45971</v>
      </c>
      <c r="R236" s="2"/>
      <c r="S236" s="2">
        <v>1</v>
      </c>
      <c r="T236" s="2" t="s">
        <v>1119</v>
      </c>
      <c r="U236" s="2" t="s">
        <v>34</v>
      </c>
    </row>
    <row r="237" spans="1:21" ht="75" x14ac:dyDescent="0.25">
      <c r="A237" s="2">
        <v>16</v>
      </c>
      <c r="B237" s="2" t="s">
        <v>1146</v>
      </c>
      <c r="C237" s="2" t="s">
        <v>56</v>
      </c>
      <c r="D237" s="2" t="s">
        <v>153</v>
      </c>
      <c r="E237" s="2" t="s">
        <v>1147</v>
      </c>
      <c r="F237" s="2" t="s">
        <v>59</v>
      </c>
      <c r="G237" s="2">
        <f>91-2762-222000</f>
        <v>-224671</v>
      </c>
      <c r="H237" s="3" t="s">
        <v>1148</v>
      </c>
      <c r="I237" s="3" t="s">
        <v>1149</v>
      </c>
      <c r="J237" s="2" t="s">
        <v>1150</v>
      </c>
      <c r="K237" s="2"/>
      <c r="L237" s="2" t="s">
        <v>1151</v>
      </c>
      <c r="M237" s="2"/>
      <c r="N237" s="2"/>
      <c r="O237" s="2"/>
      <c r="P237" s="2" t="s">
        <v>31</v>
      </c>
      <c r="Q237" s="4">
        <v>45971</v>
      </c>
      <c r="R237" s="2"/>
      <c r="S237" s="2">
        <v>1</v>
      </c>
      <c r="T237" s="2" t="s">
        <v>1119</v>
      </c>
      <c r="U237" s="2" t="s">
        <v>34</v>
      </c>
    </row>
    <row r="238" spans="1:21" ht="135" x14ac:dyDescent="0.25">
      <c r="A238" s="2">
        <v>16</v>
      </c>
      <c r="B238" s="2" t="s">
        <v>1152</v>
      </c>
      <c r="C238" s="2" t="s">
        <v>119</v>
      </c>
      <c r="D238" s="2" t="s">
        <v>43</v>
      </c>
      <c r="E238" s="2" t="s">
        <v>44</v>
      </c>
      <c r="F238" s="2" t="s">
        <v>49</v>
      </c>
      <c r="G238" s="2">
        <f>91-40-29805901</f>
        <v>-29805850</v>
      </c>
      <c r="H238" s="3" t="s">
        <v>120</v>
      </c>
      <c r="I238" s="3" t="s">
        <v>121</v>
      </c>
      <c r="J238" s="2" t="s">
        <v>1153</v>
      </c>
      <c r="K238" s="2"/>
      <c r="L238" s="2" t="s">
        <v>1154</v>
      </c>
      <c r="M238" s="2"/>
      <c r="N238" s="2"/>
      <c r="O238" s="2"/>
      <c r="P238" s="2" t="s">
        <v>31</v>
      </c>
      <c r="Q238" s="4">
        <v>45981</v>
      </c>
      <c r="R238" s="2"/>
      <c r="S238" s="2">
        <v>1</v>
      </c>
      <c r="T238" s="2" t="s">
        <v>1119</v>
      </c>
      <c r="U238" s="2" t="s">
        <v>34</v>
      </c>
    </row>
    <row r="239" spans="1:21" ht="45" x14ac:dyDescent="0.25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5</v>
      </c>
      <c r="G239" s="1" t="s">
        <v>6</v>
      </c>
      <c r="H239" s="1" t="s">
        <v>7</v>
      </c>
      <c r="I239" s="1" t="s">
        <v>8</v>
      </c>
      <c r="J239" s="1" t="s">
        <v>9</v>
      </c>
      <c r="K239" s="1" t="s">
        <v>10</v>
      </c>
      <c r="L239" s="1" t="s">
        <v>11</v>
      </c>
      <c r="M239" s="1" t="s">
        <v>12</v>
      </c>
      <c r="N239" s="1" t="s">
        <v>13</v>
      </c>
      <c r="O239" s="1" t="s">
        <v>14</v>
      </c>
      <c r="P239" s="1" t="s">
        <v>15</v>
      </c>
      <c r="Q239" s="1" t="s">
        <v>16</v>
      </c>
      <c r="R239" s="1" t="s">
        <v>17</v>
      </c>
      <c r="S239" s="1" t="s">
        <v>18</v>
      </c>
      <c r="T239" s="1" t="s">
        <v>19</v>
      </c>
      <c r="U239" s="1" t="s">
        <v>20</v>
      </c>
    </row>
    <row r="240" spans="1:21" ht="180" x14ac:dyDescent="0.25">
      <c r="A240" s="2">
        <v>17</v>
      </c>
      <c r="B240" s="2" t="s">
        <v>21</v>
      </c>
      <c r="C240" s="2" t="s">
        <v>22</v>
      </c>
      <c r="D240" s="2" t="s">
        <v>23</v>
      </c>
      <c r="E240" s="2" t="s">
        <v>24</v>
      </c>
      <c r="F240" s="2" t="s">
        <v>25</v>
      </c>
      <c r="G240" s="2">
        <f>91-11-26514044</f>
        <v>-26513964</v>
      </c>
      <c r="H240" s="3" t="s">
        <v>26</v>
      </c>
      <c r="I240" s="3" t="s">
        <v>27</v>
      </c>
      <c r="J240" s="2" t="s">
        <v>406</v>
      </c>
      <c r="K240" s="2"/>
      <c r="L240" s="2"/>
      <c r="M240" s="2" t="s">
        <v>1155</v>
      </c>
      <c r="N240" s="2"/>
      <c r="O240" s="2"/>
      <c r="P240" s="2" t="s">
        <v>31</v>
      </c>
      <c r="Q240" s="4">
        <v>45981</v>
      </c>
      <c r="R240" s="2" t="s">
        <v>1156</v>
      </c>
      <c r="S240" s="2">
        <v>1</v>
      </c>
      <c r="T240" s="2" t="s">
        <v>1157</v>
      </c>
      <c r="U240" s="2" t="s">
        <v>34</v>
      </c>
    </row>
    <row r="241" spans="1:21" ht="135" x14ac:dyDescent="0.25">
      <c r="A241" s="2">
        <v>17</v>
      </c>
      <c r="B241" s="2" t="s">
        <v>1158</v>
      </c>
      <c r="C241" s="2" t="s">
        <v>22</v>
      </c>
      <c r="D241" s="2" t="s">
        <v>23</v>
      </c>
      <c r="E241" s="2" t="s">
        <v>24</v>
      </c>
      <c r="F241" s="2" t="s">
        <v>1159</v>
      </c>
      <c r="G241" s="2">
        <f>91-11-41610101</f>
        <v>-41610021</v>
      </c>
      <c r="H241" s="2" t="s">
        <v>1160</v>
      </c>
      <c r="I241" s="3" t="s">
        <v>1161</v>
      </c>
      <c r="J241" s="2" t="s">
        <v>24</v>
      </c>
      <c r="K241" s="2"/>
      <c r="L241" s="2"/>
      <c r="M241" s="2"/>
      <c r="N241" s="2"/>
      <c r="O241" s="2"/>
      <c r="P241" s="2" t="s">
        <v>31</v>
      </c>
      <c r="Q241" s="4">
        <v>45981</v>
      </c>
      <c r="R241" s="2" t="s">
        <v>1162</v>
      </c>
      <c r="S241" s="2">
        <v>1</v>
      </c>
      <c r="T241" s="2" t="s">
        <v>1157</v>
      </c>
      <c r="U241" s="2" t="s">
        <v>34</v>
      </c>
    </row>
    <row r="242" spans="1:21" ht="105" x14ac:dyDescent="0.25">
      <c r="A242" s="2">
        <v>17</v>
      </c>
      <c r="B242" s="2" t="s">
        <v>1163</v>
      </c>
      <c r="C242" s="2" t="s">
        <v>56</v>
      </c>
      <c r="D242" s="2" t="s">
        <v>57</v>
      </c>
      <c r="E242" s="2" t="s">
        <v>1164</v>
      </c>
      <c r="F242" s="2" t="s">
        <v>59</v>
      </c>
      <c r="G242" s="2">
        <f>91-1344-220006</f>
        <v>-221259</v>
      </c>
      <c r="H242" s="3" t="s">
        <v>1165</v>
      </c>
      <c r="I242" s="3" t="s">
        <v>1166</v>
      </c>
      <c r="J242" s="2" t="s">
        <v>1167</v>
      </c>
      <c r="K242" s="2"/>
      <c r="L242" s="2" t="s">
        <v>1168</v>
      </c>
      <c r="M242" s="2"/>
      <c r="N242" s="2"/>
      <c r="O242" s="2"/>
      <c r="P242" s="2" t="s">
        <v>31</v>
      </c>
      <c r="Q242" s="4">
        <v>45971</v>
      </c>
      <c r="R242" s="2" t="s">
        <v>1169</v>
      </c>
      <c r="S242" s="2">
        <v>1</v>
      </c>
      <c r="T242" s="2" t="s">
        <v>1157</v>
      </c>
      <c r="U242" s="2" t="s">
        <v>34</v>
      </c>
    </row>
    <row r="243" spans="1:21" ht="90" x14ac:dyDescent="0.25">
      <c r="A243" s="2">
        <v>17</v>
      </c>
      <c r="B243" s="2" t="s">
        <v>1170</v>
      </c>
      <c r="C243" s="2" t="s">
        <v>56</v>
      </c>
      <c r="D243" s="2" t="s">
        <v>57</v>
      </c>
      <c r="E243" s="2" t="s">
        <v>1171</v>
      </c>
      <c r="F243" s="2" t="s">
        <v>1124</v>
      </c>
      <c r="G243" s="2">
        <f>91-522-4041610</f>
        <v>-4042041</v>
      </c>
      <c r="H243" s="2"/>
      <c r="I243" s="3" t="s">
        <v>1172</v>
      </c>
      <c r="J243" s="2" t="s">
        <v>1173</v>
      </c>
      <c r="K243" s="2"/>
      <c r="L243" s="2" t="s">
        <v>1174</v>
      </c>
      <c r="M243" s="2"/>
      <c r="N243" s="2"/>
      <c r="O243" s="2"/>
      <c r="P243" s="2" t="s">
        <v>31</v>
      </c>
      <c r="Q243" s="4">
        <v>45971</v>
      </c>
      <c r="R243" s="2"/>
      <c r="S243" s="2">
        <v>1</v>
      </c>
      <c r="T243" s="2" t="s">
        <v>1157</v>
      </c>
      <c r="U243" s="2" t="s">
        <v>34</v>
      </c>
    </row>
    <row r="244" spans="1:21" ht="60" x14ac:dyDescent="0.25">
      <c r="A244" s="2">
        <v>17</v>
      </c>
      <c r="B244" s="2" t="s">
        <v>1175</v>
      </c>
      <c r="C244" s="2" t="s">
        <v>56</v>
      </c>
      <c r="D244" s="2" t="s">
        <v>102</v>
      </c>
      <c r="E244" s="2" t="s">
        <v>103</v>
      </c>
      <c r="F244" s="2" t="s">
        <v>59</v>
      </c>
      <c r="G244" s="2">
        <f>91-422-2221110</f>
        <v>-2221441</v>
      </c>
      <c r="H244" s="2"/>
      <c r="I244" s="3" t="s">
        <v>1176</v>
      </c>
      <c r="J244" s="2" t="s">
        <v>1177</v>
      </c>
      <c r="K244" s="2"/>
      <c r="L244" s="2" t="s">
        <v>1178</v>
      </c>
      <c r="M244" s="2"/>
      <c r="N244" s="2"/>
      <c r="O244" s="2"/>
      <c r="P244" s="2" t="s">
        <v>31</v>
      </c>
      <c r="Q244" s="4">
        <v>45971</v>
      </c>
      <c r="R244" s="2"/>
      <c r="S244" s="2">
        <v>1</v>
      </c>
      <c r="T244" s="2" t="s">
        <v>1157</v>
      </c>
      <c r="U244" s="2" t="s">
        <v>34</v>
      </c>
    </row>
    <row r="245" spans="1:21" ht="75" x14ac:dyDescent="0.25">
      <c r="A245" s="2">
        <v>17</v>
      </c>
      <c r="B245" s="2" t="s">
        <v>1179</v>
      </c>
      <c r="C245" s="2" t="s">
        <v>56</v>
      </c>
      <c r="D245" s="2" t="s">
        <v>102</v>
      </c>
      <c r="E245" s="2" t="s">
        <v>158</v>
      </c>
      <c r="F245" s="2" t="s">
        <v>527</v>
      </c>
      <c r="G245" s="2">
        <f>91-44-25306500</f>
        <v>-25306453</v>
      </c>
      <c r="H245" s="2"/>
      <c r="I245" s="3" t="s">
        <v>1180</v>
      </c>
      <c r="J245" s="2" t="s">
        <v>1181</v>
      </c>
      <c r="K245" s="2"/>
      <c r="L245" s="2" t="s">
        <v>1182</v>
      </c>
      <c r="M245" s="2"/>
      <c r="N245" s="2"/>
      <c r="O245" s="2"/>
      <c r="P245" s="2" t="s">
        <v>31</v>
      </c>
      <c r="Q245" s="4">
        <v>45971</v>
      </c>
      <c r="R245" s="2"/>
      <c r="S245" s="2">
        <v>1</v>
      </c>
      <c r="T245" s="2" t="s">
        <v>1157</v>
      </c>
      <c r="U245" s="2" t="s">
        <v>34</v>
      </c>
    </row>
    <row r="246" spans="1:21" ht="90" x14ac:dyDescent="0.25">
      <c r="A246" s="2">
        <v>17</v>
      </c>
      <c r="B246" s="2" t="s">
        <v>1183</v>
      </c>
      <c r="C246" s="2" t="s">
        <v>56</v>
      </c>
      <c r="D246" s="2" t="s">
        <v>298</v>
      </c>
      <c r="E246" s="2" t="s">
        <v>299</v>
      </c>
      <c r="F246" s="2" t="s">
        <v>1124</v>
      </c>
      <c r="G246" s="2">
        <f>91-80-67260000</f>
        <v>-67259989</v>
      </c>
      <c r="H246" s="3" t="s">
        <v>1184</v>
      </c>
      <c r="I246" s="3" t="s">
        <v>1185</v>
      </c>
      <c r="J246" s="2" t="s">
        <v>299</v>
      </c>
      <c r="K246" s="2"/>
      <c r="L246" s="2" t="s">
        <v>1186</v>
      </c>
      <c r="M246" s="2"/>
      <c r="N246" s="2"/>
      <c r="O246" s="2"/>
      <c r="P246" s="2" t="s">
        <v>31</v>
      </c>
      <c r="Q246" s="4">
        <v>45971</v>
      </c>
      <c r="R246" s="2"/>
      <c r="S246" s="2">
        <v>1</v>
      </c>
      <c r="T246" s="2" t="s">
        <v>1157</v>
      </c>
      <c r="U246" s="2" t="s">
        <v>34</v>
      </c>
    </row>
    <row r="247" spans="1:21" ht="75" x14ac:dyDescent="0.25">
      <c r="A247" s="2">
        <v>17</v>
      </c>
      <c r="B247" s="2" t="s">
        <v>1187</v>
      </c>
      <c r="C247" s="2" t="s">
        <v>56</v>
      </c>
      <c r="D247" s="2" t="s">
        <v>57</v>
      </c>
      <c r="E247" s="2" t="s">
        <v>1188</v>
      </c>
      <c r="F247" s="2" t="s">
        <v>527</v>
      </c>
      <c r="G247" s="2">
        <f>91-522-4066000</f>
        <v>-4066431</v>
      </c>
      <c r="H247" s="3" t="s">
        <v>1189</v>
      </c>
      <c r="I247" s="3" t="s">
        <v>1190</v>
      </c>
      <c r="J247" s="2" t="s">
        <v>1191</v>
      </c>
      <c r="K247" s="2"/>
      <c r="L247" s="2" t="s">
        <v>1192</v>
      </c>
      <c r="M247" s="2"/>
      <c r="N247" s="2"/>
      <c r="O247" s="2"/>
      <c r="P247" s="2" t="s">
        <v>31</v>
      </c>
      <c r="Q247" s="4">
        <v>45971</v>
      </c>
      <c r="R247" s="2"/>
      <c r="S247" s="2">
        <v>1</v>
      </c>
      <c r="T247" s="2" t="s">
        <v>1157</v>
      </c>
      <c r="U247" s="2" t="s">
        <v>34</v>
      </c>
    </row>
    <row r="248" spans="1:21" ht="90" x14ac:dyDescent="0.25">
      <c r="A248" s="2">
        <v>17</v>
      </c>
      <c r="B248" s="2" t="s">
        <v>1193</v>
      </c>
      <c r="C248" s="2" t="s">
        <v>1194</v>
      </c>
      <c r="D248" s="2" t="s">
        <v>153</v>
      </c>
      <c r="E248" s="2" t="s">
        <v>1195</v>
      </c>
      <c r="F248" s="2" t="s">
        <v>655</v>
      </c>
      <c r="G248" s="2"/>
      <c r="H248" s="2"/>
      <c r="I248" s="2"/>
      <c r="J248" s="2" t="s">
        <v>1196</v>
      </c>
      <c r="K248" s="2"/>
      <c r="L248" s="2" t="s">
        <v>1197</v>
      </c>
      <c r="M248" s="2"/>
      <c r="N248" s="2"/>
      <c r="O248" s="2"/>
      <c r="P248" s="2" t="s">
        <v>31</v>
      </c>
      <c r="Q248" s="4">
        <v>45981</v>
      </c>
      <c r="R248" s="2" t="s">
        <v>1198</v>
      </c>
      <c r="S248" s="2">
        <v>1</v>
      </c>
      <c r="T248" s="2" t="s">
        <v>1157</v>
      </c>
      <c r="U248" s="2" t="s">
        <v>34</v>
      </c>
    </row>
    <row r="249" spans="1:21" ht="75" x14ac:dyDescent="0.25">
      <c r="A249" s="2">
        <v>17</v>
      </c>
      <c r="B249" s="2" t="s">
        <v>1199</v>
      </c>
      <c r="C249" s="2" t="s">
        <v>426</v>
      </c>
      <c r="D249" s="2" t="s">
        <v>1200</v>
      </c>
      <c r="E249" s="2" t="s">
        <v>1061</v>
      </c>
      <c r="F249" s="2" t="s">
        <v>655</v>
      </c>
      <c r="G249" s="2"/>
      <c r="H249" s="2"/>
      <c r="I249" s="2"/>
      <c r="J249" s="2" t="s">
        <v>1201</v>
      </c>
      <c r="K249" s="2"/>
      <c r="L249" s="2" t="s">
        <v>1202</v>
      </c>
      <c r="M249" s="2"/>
      <c r="N249" s="2"/>
      <c r="O249" s="2"/>
      <c r="P249" s="2" t="s">
        <v>31</v>
      </c>
      <c r="Q249" s="4">
        <v>45981</v>
      </c>
      <c r="R249" s="2"/>
      <c r="S249" s="2">
        <v>1</v>
      </c>
      <c r="T249" s="2" t="s">
        <v>1157</v>
      </c>
      <c r="U249" s="2" t="s">
        <v>34</v>
      </c>
    </row>
    <row r="250" spans="1:21" ht="165" x14ac:dyDescent="0.25">
      <c r="A250" s="2">
        <v>17</v>
      </c>
      <c r="B250" s="2" t="s">
        <v>1203</v>
      </c>
      <c r="C250" s="2" t="s">
        <v>119</v>
      </c>
      <c r="D250" s="2" t="s">
        <v>321</v>
      </c>
      <c r="E250" s="2" t="s">
        <v>1204</v>
      </c>
      <c r="F250" s="2" t="s">
        <v>49</v>
      </c>
      <c r="G250" s="2">
        <f>91-130-2281000</f>
        <v>-2281039</v>
      </c>
      <c r="H250" s="3" t="s">
        <v>1205</v>
      </c>
      <c r="I250" s="3" t="s">
        <v>1206</v>
      </c>
      <c r="J250" s="2" t="s">
        <v>1207</v>
      </c>
      <c r="K250" s="2"/>
      <c r="L250" s="2" t="s">
        <v>1208</v>
      </c>
      <c r="M250" s="2"/>
      <c r="N250" s="2"/>
      <c r="O250" s="2"/>
      <c r="P250" s="2" t="s">
        <v>31</v>
      </c>
      <c r="Q250" s="4">
        <v>45981</v>
      </c>
      <c r="R250" s="2"/>
      <c r="S250" s="2">
        <v>1</v>
      </c>
      <c r="T250" s="2" t="s">
        <v>1157</v>
      </c>
      <c r="U250" s="2" t="s">
        <v>34</v>
      </c>
    </row>
    <row r="251" spans="1:21" ht="45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7</v>
      </c>
      <c r="I251" s="1" t="s">
        <v>8</v>
      </c>
      <c r="J251" s="1" t="s">
        <v>9</v>
      </c>
      <c r="K251" s="1" t="s">
        <v>10</v>
      </c>
      <c r="L251" s="1" t="s">
        <v>11</v>
      </c>
      <c r="M251" s="1" t="s">
        <v>12</v>
      </c>
      <c r="N251" s="1" t="s">
        <v>13</v>
      </c>
      <c r="O251" s="1" t="s">
        <v>14</v>
      </c>
      <c r="P251" s="1" t="s">
        <v>15</v>
      </c>
      <c r="Q251" s="1" t="s">
        <v>16</v>
      </c>
      <c r="R251" s="1" t="s">
        <v>17</v>
      </c>
      <c r="S251" s="1" t="s">
        <v>18</v>
      </c>
      <c r="T251" s="1" t="s">
        <v>19</v>
      </c>
      <c r="U251" s="1" t="s">
        <v>20</v>
      </c>
    </row>
    <row r="252" spans="1:21" ht="180" x14ac:dyDescent="0.25">
      <c r="A252" s="2">
        <v>18</v>
      </c>
      <c r="B252" s="2" t="s">
        <v>21</v>
      </c>
      <c r="C252" s="2" t="s">
        <v>22</v>
      </c>
      <c r="D252" s="2" t="s">
        <v>23</v>
      </c>
      <c r="E252" s="2" t="s">
        <v>24</v>
      </c>
      <c r="F252" s="2" t="s">
        <v>25</v>
      </c>
      <c r="G252" s="2">
        <f>91-11-26514044</f>
        <v>-26513964</v>
      </c>
      <c r="H252" s="3" t="s">
        <v>26</v>
      </c>
      <c r="I252" s="3" t="s">
        <v>27</v>
      </c>
      <c r="J252" s="2" t="s">
        <v>406</v>
      </c>
      <c r="K252" s="2"/>
      <c r="L252" s="2"/>
      <c r="M252" s="2" t="s">
        <v>1209</v>
      </c>
      <c r="N252" s="2"/>
      <c r="O252" s="2"/>
      <c r="P252" s="2" t="s">
        <v>31</v>
      </c>
      <c r="Q252" s="4">
        <v>45981</v>
      </c>
      <c r="R252" s="2" t="s">
        <v>1210</v>
      </c>
      <c r="S252" s="2">
        <v>1</v>
      </c>
      <c r="T252" s="2" t="s">
        <v>1211</v>
      </c>
      <c r="U252" s="2" t="s">
        <v>34</v>
      </c>
    </row>
    <row r="253" spans="1:21" ht="135" x14ac:dyDescent="0.25">
      <c r="A253" s="2">
        <v>18</v>
      </c>
      <c r="B253" s="2" t="s">
        <v>1212</v>
      </c>
      <c r="C253" s="2" t="s">
        <v>1213</v>
      </c>
      <c r="D253" s="2" t="s">
        <v>298</v>
      </c>
      <c r="E253" s="2" t="s">
        <v>1214</v>
      </c>
      <c r="F253" s="2" t="s">
        <v>476</v>
      </c>
      <c r="G253" s="2">
        <f>91-824-2221717</f>
        <v>-2222450</v>
      </c>
      <c r="H253" s="3" t="s">
        <v>1215</v>
      </c>
      <c r="I253" s="3" t="s">
        <v>1216</v>
      </c>
      <c r="J253" s="2" t="s">
        <v>1217</v>
      </c>
      <c r="K253" s="2"/>
      <c r="L253" s="2" t="s">
        <v>1218</v>
      </c>
      <c r="M253" s="2"/>
      <c r="N253" s="2"/>
      <c r="O253" s="2"/>
      <c r="P253" s="2" t="s">
        <v>31</v>
      </c>
      <c r="Q253" s="4">
        <v>45981</v>
      </c>
      <c r="R253" s="2"/>
      <c r="S253" s="2">
        <v>1</v>
      </c>
      <c r="T253" s="2" t="s">
        <v>1211</v>
      </c>
      <c r="U253" s="2" t="s">
        <v>34</v>
      </c>
    </row>
    <row r="254" spans="1:21" ht="90" x14ac:dyDescent="0.25">
      <c r="A254" s="2">
        <v>18</v>
      </c>
      <c r="B254" s="2" t="s">
        <v>1219</v>
      </c>
      <c r="C254" s="2" t="s">
        <v>56</v>
      </c>
      <c r="D254" s="2" t="s">
        <v>36</v>
      </c>
      <c r="E254" s="2" t="s">
        <v>526</v>
      </c>
      <c r="F254" s="2" t="s">
        <v>1124</v>
      </c>
      <c r="G254" s="2">
        <f>91-22-33964000</f>
        <v>-33963931</v>
      </c>
      <c r="H254" s="2"/>
      <c r="I254" s="3" t="s">
        <v>1220</v>
      </c>
      <c r="J254" s="2" t="s">
        <v>1221</v>
      </c>
      <c r="K254" s="2"/>
      <c r="L254" s="2" t="s">
        <v>1222</v>
      </c>
      <c r="M254" s="2"/>
      <c r="N254" s="2"/>
      <c r="O254" s="2"/>
      <c r="P254" s="2" t="s">
        <v>31</v>
      </c>
      <c r="Q254" s="4">
        <v>45971</v>
      </c>
      <c r="R254" s="2" t="s">
        <v>1223</v>
      </c>
      <c r="S254" s="2">
        <v>1</v>
      </c>
      <c r="T254" s="2" t="s">
        <v>1211</v>
      </c>
      <c r="U254" s="2" t="s">
        <v>34</v>
      </c>
    </row>
    <row r="255" spans="1:21" ht="105" x14ac:dyDescent="0.25">
      <c r="A255" s="2">
        <v>18</v>
      </c>
      <c r="B255" s="2" t="s">
        <v>1224</v>
      </c>
      <c r="C255" s="2" t="s">
        <v>56</v>
      </c>
      <c r="D255" s="2" t="s">
        <v>841</v>
      </c>
      <c r="E255" s="2" t="s">
        <v>1225</v>
      </c>
      <c r="F255" s="2" t="s">
        <v>527</v>
      </c>
      <c r="G255" s="2">
        <f>91-1636-224000</f>
        <v>-225545</v>
      </c>
      <c r="H255" s="2"/>
      <c r="I255" s="3" t="s">
        <v>1226</v>
      </c>
      <c r="J255" s="2" t="s">
        <v>1227</v>
      </c>
      <c r="K255" s="2"/>
      <c r="L255" s="2" t="s">
        <v>1228</v>
      </c>
      <c r="M255" s="2"/>
      <c r="N255" s="2"/>
      <c r="O255" s="2"/>
      <c r="P255" s="2" t="s">
        <v>31</v>
      </c>
      <c r="Q255" s="4">
        <v>45971</v>
      </c>
      <c r="R255" s="2"/>
      <c r="S255" s="2">
        <v>1</v>
      </c>
      <c r="T255" s="2" t="s">
        <v>1211</v>
      </c>
      <c r="U255" s="2" t="s">
        <v>34</v>
      </c>
    </row>
    <row r="256" spans="1:21" ht="105" x14ac:dyDescent="0.25">
      <c r="A256" s="2">
        <v>18</v>
      </c>
      <c r="B256" s="2" t="s">
        <v>1229</v>
      </c>
      <c r="C256" s="2" t="s">
        <v>56</v>
      </c>
      <c r="D256" s="2" t="s">
        <v>43</v>
      </c>
      <c r="E256" s="2" t="s">
        <v>44</v>
      </c>
      <c r="F256" s="2" t="s">
        <v>59</v>
      </c>
      <c r="G256" s="2">
        <f>91-40-23350607</f>
        <v>-23350556</v>
      </c>
      <c r="H256" s="3" t="s">
        <v>1230</v>
      </c>
      <c r="I256" s="3" t="s">
        <v>1231</v>
      </c>
      <c r="J256" s="2" t="s">
        <v>1232</v>
      </c>
      <c r="K256" s="2"/>
      <c r="L256" s="2" t="s">
        <v>1233</v>
      </c>
      <c r="M256" s="2"/>
      <c r="N256" s="2"/>
      <c r="O256" s="2"/>
      <c r="P256" s="2" t="s">
        <v>31</v>
      </c>
      <c r="Q256" s="4">
        <v>45971</v>
      </c>
      <c r="R256" s="2"/>
      <c r="S256" s="2">
        <v>1</v>
      </c>
      <c r="T256" s="2" t="s">
        <v>1211</v>
      </c>
      <c r="U256" s="2" t="s">
        <v>34</v>
      </c>
    </row>
    <row r="257" spans="1:21" ht="135" x14ac:dyDescent="0.25">
      <c r="A257" s="2">
        <v>18</v>
      </c>
      <c r="B257" s="2" t="s">
        <v>1234</v>
      </c>
      <c r="C257" s="2" t="s">
        <v>56</v>
      </c>
      <c r="D257" s="2" t="s">
        <v>298</v>
      </c>
      <c r="E257" s="2" t="s">
        <v>1235</v>
      </c>
      <c r="F257" s="2" t="s">
        <v>59</v>
      </c>
      <c r="G257" s="2">
        <f>91-824-2221717</f>
        <v>-2222450</v>
      </c>
      <c r="H257" s="2"/>
      <c r="I257" s="3" t="s">
        <v>1216</v>
      </c>
      <c r="J257" s="2" t="s">
        <v>1236</v>
      </c>
      <c r="K257" s="2"/>
      <c r="L257" s="2" t="s">
        <v>1237</v>
      </c>
      <c r="M257" s="2"/>
      <c r="N257" s="2"/>
      <c r="O257" s="2"/>
      <c r="P257" s="2" t="s">
        <v>31</v>
      </c>
      <c r="Q257" s="4">
        <v>45971</v>
      </c>
      <c r="R257" s="2"/>
      <c r="S257" s="2">
        <v>1</v>
      </c>
      <c r="T257" s="2" t="s">
        <v>1211</v>
      </c>
      <c r="U257" s="2" t="s">
        <v>34</v>
      </c>
    </row>
    <row r="258" spans="1:21" ht="105" x14ac:dyDescent="0.25">
      <c r="A258" s="2">
        <v>18</v>
      </c>
      <c r="B258" s="2" t="s">
        <v>1238</v>
      </c>
      <c r="C258" s="2" t="s">
        <v>56</v>
      </c>
      <c r="D258" s="2" t="s">
        <v>126</v>
      </c>
      <c r="E258" s="2" t="s">
        <v>1239</v>
      </c>
      <c r="F258" s="2" t="s">
        <v>1124</v>
      </c>
      <c r="G258" s="2">
        <f>91-487-2331500</f>
        <v>-2331896</v>
      </c>
      <c r="H258" s="3" t="s">
        <v>1240</v>
      </c>
      <c r="I258" s="3" t="s">
        <v>1241</v>
      </c>
      <c r="J258" s="2" t="s">
        <v>1239</v>
      </c>
      <c r="K258" s="2"/>
      <c r="L258" s="2" t="s">
        <v>1242</v>
      </c>
      <c r="M258" s="2"/>
      <c r="N258" s="2"/>
      <c r="O258" s="2"/>
      <c r="P258" s="2" t="s">
        <v>31</v>
      </c>
      <c r="Q258" s="4">
        <v>45971</v>
      </c>
      <c r="R258" s="2"/>
      <c r="S258" s="2">
        <v>1</v>
      </c>
      <c r="T258" s="2" t="s">
        <v>1211</v>
      </c>
      <c r="U258" s="2" t="s">
        <v>34</v>
      </c>
    </row>
    <row r="259" spans="1:21" ht="135" x14ac:dyDescent="0.25">
      <c r="A259" s="2">
        <v>18</v>
      </c>
      <c r="B259" s="2" t="s">
        <v>1243</v>
      </c>
      <c r="C259" s="2" t="s">
        <v>56</v>
      </c>
      <c r="D259" s="2" t="s">
        <v>153</v>
      </c>
      <c r="E259" s="2" t="s">
        <v>1244</v>
      </c>
      <c r="F259" s="2" t="s">
        <v>527</v>
      </c>
      <c r="G259" s="2">
        <f>91-2646-272000</f>
        <v>-274555</v>
      </c>
      <c r="H259" s="2"/>
      <c r="I259" s="3" t="s">
        <v>1245</v>
      </c>
      <c r="J259" s="2" t="s">
        <v>1246</v>
      </c>
      <c r="K259" s="2"/>
      <c r="L259" s="2" t="s">
        <v>1247</v>
      </c>
      <c r="M259" s="2"/>
      <c r="N259" s="2"/>
      <c r="O259" s="2"/>
      <c r="P259" s="2" t="s">
        <v>31</v>
      </c>
      <c r="Q259" s="4">
        <v>45971</v>
      </c>
      <c r="R259" s="2"/>
      <c r="S259" s="2">
        <v>1</v>
      </c>
      <c r="T259" s="2" t="s">
        <v>1211</v>
      </c>
      <c r="U259" s="2" t="s">
        <v>34</v>
      </c>
    </row>
    <row r="260" spans="1:21" ht="60" x14ac:dyDescent="0.25">
      <c r="A260" s="2">
        <v>18</v>
      </c>
      <c r="B260" s="2" t="s">
        <v>1248</v>
      </c>
      <c r="C260" s="2" t="s">
        <v>56</v>
      </c>
      <c r="D260" s="2" t="s">
        <v>126</v>
      </c>
      <c r="E260" s="2" t="s">
        <v>127</v>
      </c>
      <c r="F260" s="2" t="s">
        <v>1124</v>
      </c>
      <c r="G260" s="2">
        <f>91-484-3055000</f>
        <v>-3055393</v>
      </c>
      <c r="H260" s="3" t="s">
        <v>691</v>
      </c>
      <c r="I260" s="3" t="s">
        <v>692</v>
      </c>
      <c r="J260" s="2" t="s">
        <v>1249</v>
      </c>
      <c r="K260" s="2"/>
      <c r="L260" s="2" t="s">
        <v>1250</v>
      </c>
      <c r="M260" s="2"/>
      <c r="N260" s="2"/>
      <c r="O260" s="2"/>
      <c r="P260" s="2" t="s">
        <v>31</v>
      </c>
      <c r="Q260" s="4">
        <v>45971</v>
      </c>
      <c r="R260" s="2"/>
      <c r="S260" s="2">
        <v>1</v>
      </c>
      <c r="T260" s="2" t="s">
        <v>1211</v>
      </c>
      <c r="U260" s="2" t="s">
        <v>34</v>
      </c>
    </row>
    <row r="261" spans="1:21" ht="90" x14ac:dyDescent="0.25">
      <c r="A261" s="2">
        <v>18</v>
      </c>
      <c r="B261" s="2" t="s">
        <v>1251</v>
      </c>
      <c r="C261" s="2" t="s">
        <v>426</v>
      </c>
      <c r="D261" s="2" t="s">
        <v>126</v>
      </c>
      <c r="E261" s="2" t="s">
        <v>1252</v>
      </c>
      <c r="F261" s="2" t="s">
        <v>655</v>
      </c>
      <c r="G261" s="2"/>
      <c r="H261" s="2"/>
      <c r="I261" s="2"/>
      <c r="J261" s="2" t="s">
        <v>1253</v>
      </c>
      <c r="K261" s="2"/>
      <c r="L261" s="2" t="s">
        <v>1254</v>
      </c>
      <c r="M261" s="2"/>
      <c r="N261" s="2"/>
      <c r="O261" s="2"/>
      <c r="P261" s="2" t="s">
        <v>31</v>
      </c>
      <c r="Q261" s="4">
        <v>45981</v>
      </c>
      <c r="R261" s="2" t="s">
        <v>1255</v>
      </c>
      <c r="S261" s="2">
        <v>1</v>
      </c>
      <c r="T261" s="2" t="s">
        <v>1211</v>
      </c>
      <c r="U261" s="2" t="s">
        <v>34</v>
      </c>
    </row>
    <row r="262" spans="1:21" ht="135" x14ac:dyDescent="0.25">
      <c r="A262" s="2">
        <v>18</v>
      </c>
      <c r="B262" s="2" t="s">
        <v>1256</v>
      </c>
      <c r="C262" s="2" t="s">
        <v>119</v>
      </c>
      <c r="D262" s="2" t="s">
        <v>126</v>
      </c>
      <c r="E262" s="2" t="s">
        <v>1257</v>
      </c>
      <c r="F262" s="2" t="s">
        <v>49</v>
      </c>
      <c r="G262" s="2">
        <f>91-4994-232893</f>
        <v>-237796</v>
      </c>
      <c r="H262" s="3" t="s">
        <v>1258</v>
      </c>
      <c r="I262" s="3" t="s">
        <v>1259</v>
      </c>
      <c r="J262" s="2" t="s">
        <v>1257</v>
      </c>
      <c r="K262" s="2"/>
      <c r="L262" s="2" t="s">
        <v>1260</v>
      </c>
      <c r="M262" s="2"/>
      <c r="N262" s="2"/>
      <c r="O262" s="2"/>
      <c r="P262" s="2" t="s">
        <v>31</v>
      </c>
      <c r="Q262" s="4">
        <v>45981</v>
      </c>
      <c r="R262" s="2"/>
      <c r="S262" s="2">
        <v>1</v>
      </c>
      <c r="T262" s="2" t="s">
        <v>1211</v>
      </c>
      <c r="U262" s="2" t="s">
        <v>34</v>
      </c>
    </row>
    <row r="263" spans="1:21" ht="45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G263" s="1" t="s">
        <v>6</v>
      </c>
      <c r="H263" s="1" t="s">
        <v>7</v>
      </c>
      <c r="I263" s="1" t="s">
        <v>8</v>
      </c>
      <c r="J263" s="1" t="s">
        <v>9</v>
      </c>
      <c r="K263" s="1" t="s">
        <v>10</v>
      </c>
      <c r="L263" s="1" t="s">
        <v>11</v>
      </c>
      <c r="M263" s="1" t="s">
        <v>12</v>
      </c>
      <c r="N263" s="1" t="s">
        <v>13</v>
      </c>
      <c r="O263" s="1" t="s">
        <v>14</v>
      </c>
      <c r="P263" s="1" t="s">
        <v>15</v>
      </c>
      <c r="Q263" s="1" t="s">
        <v>16</v>
      </c>
      <c r="R263" s="1" t="s">
        <v>17</v>
      </c>
      <c r="S263" s="1" t="s">
        <v>18</v>
      </c>
      <c r="T263" s="1" t="s">
        <v>19</v>
      </c>
      <c r="U263" s="1" t="s">
        <v>20</v>
      </c>
    </row>
    <row r="264" spans="1:21" ht="180" x14ac:dyDescent="0.25">
      <c r="A264" s="2">
        <v>19</v>
      </c>
      <c r="B264" s="2" t="s">
        <v>21</v>
      </c>
      <c r="C264" s="2" t="s">
        <v>22</v>
      </c>
      <c r="D264" s="2" t="s">
        <v>23</v>
      </c>
      <c r="E264" s="2" t="s">
        <v>24</v>
      </c>
      <c r="F264" s="2" t="s">
        <v>25</v>
      </c>
      <c r="G264" s="2">
        <f>91-11-26514044</f>
        <v>-26513964</v>
      </c>
      <c r="H264" s="3" t="s">
        <v>26</v>
      </c>
      <c r="I264" s="3" t="s">
        <v>27</v>
      </c>
      <c r="J264" s="2" t="s">
        <v>406</v>
      </c>
      <c r="K264" s="2"/>
      <c r="L264" s="2"/>
      <c r="M264" s="2" t="s">
        <v>1261</v>
      </c>
      <c r="N264" s="2"/>
      <c r="O264" s="2"/>
      <c r="P264" s="2" t="s">
        <v>31</v>
      </c>
      <c r="Q264" s="4">
        <v>45981</v>
      </c>
      <c r="R264" s="2" t="s">
        <v>1262</v>
      </c>
      <c r="S264" s="2">
        <v>1</v>
      </c>
      <c r="T264" s="2" t="s">
        <v>1263</v>
      </c>
      <c r="U264" s="2" t="s">
        <v>34</v>
      </c>
    </row>
    <row r="265" spans="1:21" ht="105" x14ac:dyDescent="0.25">
      <c r="A265" s="2">
        <v>19</v>
      </c>
      <c r="B265" s="2" t="s">
        <v>1264</v>
      </c>
      <c r="C265" s="2" t="s">
        <v>56</v>
      </c>
      <c r="D265" s="2" t="s">
        <v>298</v>
      </c>
      <c r="E265" s="2" t="s">
        <v>299</v>
      </c>
      <c r="F265" s="2" t="s">
        <v>1124</v>
      </c>
      <c r="G265" s="2">
        <f>91-80-39400080</f>
        <v>-39400069</v>
      </c>
      <c r="H265" s="2"/>
      <c r="I265" s="3" t="s">
        <v>1265</v>
      </c>
      <c r="J265" s="2" t="s">
        <v>1266</v>
      </c>
      <c r="K265" s="2"/>
      <c r="L265" s="2" t="s">
        <v>1267</v>
      </c>
      <c r="M265" s="2"/>
      <c r="N265" s="2"/>
      <c r="O265" s="2"/>
      <c r="P265" s="2" t="s">
        <v>31</v>
      </c>
      <c r="Q265" s="4">
        <v>45971</v>
      </c>
      <c r="R265" s="2" t="s">
        <v>1268</v>
      </c>
      <c r="S265" s="2">
        <v>1</v>
      </c>
      <c r="T265" s="2" t="s">
        <v>1263</v>
      </c>
      <c r="U265" s="2" t="s">
        <v>34</v>
      </c>
    </row>
    <row r="266" spans="1:21" ht="90" x14ac:dyDescent="0.25">
      <c r="A266" s="2">
        <v>19</v>
      </c>
      <c r="B266" s="2" t="s">
        <v>1269</v>
      </c>
      <c r="C266" s="2" t="s">
        <v>56</v>
      </c>
      <c r="D266" s="2" t="s">
        <v>36</v>
      </c>
      <c r="E266" s="2" t="s">
        <v>526</v>
      </c>
      <c r="F266" s="2" t="s">
        <v>527</v>
      </c>
      <c r="G266" s="2">
        <f>91-22-67130300</f>
        <v>-67130231</v>
      </c>
      <c r="H266" s="3" t="s">
        <v>1270</v>
      </c>
      <c r="I266" s="3" t="s">
        <v>1271</v>
      </c>
      <c r="J266" s="2" t="s">
        <v>1272</v>
      </c>
      <c r="K266" s="2"/>
      <c r="L266" s="2" t="s">
        <v>1273</v>
      </c>
      <c r="M266" s="2"/>
      <c r="N266" s="2"/>
      <c r="O266" s="2"/>
      <c r="P266" s="2" t="s">
        <v>31</v>
      </c>
      <c r="Q266" s="4">
        <v>45971</v>
      </c>
      <c r="R266" s="2"/>
      <c r="S266" s="2">
        <v>1</v>
      </c>
      <c r="T266" s="2" t="s">
        <v>1263</v>
      </c>
      <c r="U266" s="2" t="s">
        <v>34</v>
      </c>
    </row>
    <row r="267" spans="1:21" ht="75" x14ac:dyDescent="0.25">
      <c r="A267" s="2">
        <v>19</v>
      </c>
      <c r="B267" s="2" t="s">
        <v>1274</v>
      </c>
      <c r="C267" s="2" t="s">
        <v>56</v>
      </c>
      <c r="D267" s="2" t="s">
        <v>298</v>
      </c>
      <c r="E267" s="2" t="s">
        <v>299</v>
      </c>
      <c r="F267" s="2" t="s">
        <v>1124</v>
      </c>
      <c r="G267" s="2">
        <f>91-80-39400080</f>
        <v>-39400069</v>
      </c>
      <c r="H267" s="2"/>
      <c r="I267" s="3" t="s">
        <v>830</v>
      </c>
      <c r="J267" s="2" t="s">
        <v>1275</v>
      </c>
      <c r="K267" s="2"/>
      <c r="L267" s="2" t="s">
        <v>1276</v>
      </c>
      <c r="M267" s="2"/>
      <c r="N267" s="2"/>
      <c r="O267" s="2"/>
      <c r="P267" s="2" t="s">
        <v>31</v>
      </c>
      <c r="Q267" s="4">
        <v>45971</v>
      </c>
      <c r="R267" s="2"/>
      <c r="S267" s="2">
        <v>1</v>
      </c>
      <c r="T267" s="2" t="s">
        <v>1263</v>
      </c>
      <c r="U267" s="2" t="s">
        <v>34</v>
      </c>
    </row>
    <row r="268" spans="1:21" ht="90" x14ac:dyDescent="0.25">
      <c r="A268" s="2">
        <v>19</v>
      </c>
      <c r="B268" s="2" t="s">
        <v>1277</v>
      </c>
      <c r="C268" s="2" t="s">
        <v>56</v>
      </c>
      <c r="D268" s="2" t="s">
        <v>36</v>
      </c>
      <c r="E268" s="2" t="s">
        <v>526</v>
      </c>
      <c r="F268" s="2" t="s">
        <v>527</v>
      </c>
      <c r="G268" s="2">
        <f>91-22-33964000</f>
        <v>-33963931</v>
      </c>
      <c r="H268" s="2"/>
      <c r="I268" s="3" t="s">
        <v>1220</v>
      </c>
      <c r="J268" s="2" t="s">
        <v>1278</v>
      </c>
      <c r="K268" s="2"/>
      <c r="L268" s="2" t="s">
        <v>1279</v>
      </c>
      <c r="M268" s="2"/>
      <c r="N268" s="2"/>
      <c r="O268" s="2"/>
      <c r="P268" s="2" t="s">
        <v>31</v>
      </c>
      <c r="Q268" s="4">
        <v>45971</v>
      </c>
      <c r="R268" s="2"/>
      <c r="S268" s="2">
        <v>1</v>
      </c>
      <c r="T268" s="2" t="s">
        <v>1263</v>
      </c>
      <c r="U268" s="2" t="s">
        <v>34</v>
      </c>
    </row>
    <row r="269" spans="1:21" ht="60" x14ac:dyDescent="0.25">
      <c r="A269" s="2">
        <v>19</v>
      </c>
      <c r="B269" s="2" t="s">
        <v>1280</v>
      </c>
      <c r="C269" s="2" t="s">
        <v>56</v>
      </c>
      <c r="D269" s="2" t="s">
        <v>298</v>
      </c>
      <c r="E269" s="2" t="s">
        <v>299</v>
      </c>
      <c r="F269" s="2" t="s">
        <v>59</v>
      </c>
      <c r="G269" s="2">
        <f>91-80-25367800</f>
        <v>-25367789</v>
      </c>
      <c r="H269" s="3" t="s">
        <v>1281</v>
      </c>
      <c r="I269" s="3" t="s">
        <v>1282</v>
      </c>
      <c r="J269" s="2" t="s">
        <v>1283</v>
      </c>
      <c r="K269" s="2"/>
      <c r="L269" s="2" t="s">
        <v>1284</v>
      </c>
      <c r="M269" s="2"/>
      <c r="N269" s="2"/>
      <c r="O269" s="2"/>
      <c r="P269" s="2" t="s">
        <v>31</v>
      </c>
      <c r="Q269" s="4">
        <v>45971</v>
      </c>
      <c r="R269" s="2"/>
      <c r="S269" s="2">
        <v>1</v>
      </c>
      <c r="T269" s="2" t="s">
        <v>1263</v>
      </c>
      <c r="U269" s="2" t="s">
        <v>34</v>
      </c>
    </row>
    <row r="270" spans="1:21" ht="90" x14ac:dyDescent="0.25">
      <c r="A270" s="2">
        <v>19</v>
      </c>
      <c r="B270" s="2" t="s">
        <v>1285</v>
      </c>
      <c r="C270" s="2" t="s">
        <v>56</v>
      </c>
      <c r="D270" s="2" t="s">
        <v>147</v>
      </c>
      <c r="E270" s="2" t="s">
        <v>148</v>
      </c>
      <c r="F270" s="2" t="s">
        <v>1124</v>
      </c>
      <c r="G270" s="2">
        <f>91-33-40669000</f>
        <v>-40668942</v>
      </c>
      <c r="H270" s="2"/>
      <c r="I270" s="3" t="s">
        <v>1286</v>
      </c>
      <c r="J270" s="2" t="s">
        <v>1287</v>
      </c>
      <c r="K270" s="2"/>
      <c r="L270" s="2" t="s">
        <v>1288</v>
      </c>
      <c r="M270" s="2"/>
      <c r="N270" s="2"/>
      <c r="O270" s="2"/>
      <c r="P270" s="2" t="s">
        <v>31</v>
      </c>
      <c r="Q270" s="4">
        <v>45971</v>
      </c>
      <c r="R270" s="2"/>
      <c r="S270" s="2">
        <v>1</v>
      </c>
      <c r="T270" s="2" t="s">
        <v>1263</v>
      </c>
      <c r="U270" s="2" t="s">
        <v>34</v>
      </c>
    </row>
    <row r="271" spans="1:21" ht="75" x14ac:dyDescent="0.25">
      <c r="A271" s="2">
        <v>19</v>
      </c>
      <c r="B271" s="2" t="s">
        <v>1289</v>
      </c>
      <c r="C271" s="2" t="s">
        <v>56</v>
      </c>
      <c r="D271" s="2" t="s">
        <v>23</v>
      </c>
      <c r="E271" s="2" t="s">
        <v>24</v>
      </c>
      <c r="F271" s="2" t="s">
        <v>1124</v>
      </c>
      <c r="G271" s="2">
        <f>91-11-41666666</f>
        <v>-41666586</v>
      </c>
      <c r="H271" s="3" t="s">
        <v>1290</v>
      </c>
      <c r="I271" s="3" t="s">
        <v>1291</v>
      </c>
      <c r="J271" s="2" t="s">
        <v>1292</v>
      </c>
      <c r="K271" s="2"/>
      <c r="L271" s="2" t="s">
        <v>1293</v>
      </c>
      <c r="M271" s="2"/>
      <c r="N271" s="2"/>
      <c r="O271" s="2"/>
      <c r="P271" s="2" t="s">
        <v>31</v>
      </c>
      <c r="Q271" s="4">
        <v>45971</v>
      </c>
      <c r="R271" s="2" t="s">
        <v>1294</v>
      </c>
      <c r="S271" s="2">
        <v>1</v>
      </c>
      <c r="T271" s="2" t="s">
        <v>1263</v>
      </c>
      <c r="U271" s="2" t="s">
        <v>34</v>
      </c>
    </row>
    <row r="272" spans="1:21" ht="60" x14ac:dyDescent="0.25">
      <c r="A272" s="2">
        <v>19</v>
      </c>
      <c r="B272" s="2" t="s">
        <v>1295</v>
      </c>
      <c r="C272" s="2" t="s">
        <v>56</v>
      </c>
      <c r="D272" s="2" t="s">
        <v>970</v>
      </c>
      <c r="E272" s="2" t="s">
        <v>1296</v>
      </c>
      <c r="F272" s="2" t="s">
        <v>59</v>
      </c>
      <c r="G272" s="2">
        <f>91-151-2250350</f>
        <v>-2250410</v>
      </c>
      <c r="H272" s="3" t="s">
        <v>1297</v>
      </c>
      <c r="I272" s="3" t="s">
        <v>1298</v>
      </c>
      <c r="J272" s="2" t="s">
        <v>1299</v>
      </c>
      <c r="K272" s="2"/>
      <c r="L272" s="2" t="s">
        <v>1300</v>
      </c>
      <c r="M272" s="2"/>
      <c r="N272" s="2"/>
      <c r="O272" s="2"/>
      <c r="P272" s="2" t="s">
        <v>31</v>
      </c>
      <c r="Q272" s="4">
        <v>45971</v>
      </c>
      <c r="R272" s="2"/>
      <c r="S272" s="2">
        <v>1</v>
      </c>
      <c r="T272" s="2" t="s">
        <v>1263</v>
      </c>
      <c r="U272" s="2" t="s">
        <v>34</v>
      </c>
    </row>
    <row r="273" spans="1:21" ht="135" x14ac:dyDescent="0.25">
      <c r="A273" s="2">
        <v>19</v>
      </c>
      <c r="B273" s="2" t="s">
        <v>1301</v>
      </c>
      <c r="C273" s="2" t="s">
        <v>56</v>
      </c>
      <c r="D273" s="2" t="s">
        <v>298</v>
      </c>
      <c r="E273" s="2" t="s">
        <v>299</v>
      </c>
      <c r="F273" s="2" t="s">
        <v>527</v>
      </c>
      <c r="G273" s="2">
        <f>91-80-23350800</f>
        <v>-23350789</v>
      </c>
      <c r="H273" s="2"/>
      <c r="I273" s="3" t="s">
        <v>1302</v>
      </c>
      <c r="J273" s="2" t="s">
        <v>1303</v>
      </c>
      <c r="K273" s="2"/>
      <c r="L273" s="2" t="s">
        <v>1304</v>
      </c>
      <c r="M273" s="2"/>
      <c r="N273" s="2"/>
      <c r="O273" s="2"/>
      <c r="P273" s="2" t="s">
        <v>31</v>
      </c>
      <c r="Q273" s="4">
        <v>45971</v>
      </c>
      <c r="R273" s="2"/>
      <c r="S273" s="2">
        <v>1</v>
      </c>
      <c r="T273" s="2" t="s">
        <v>1263</v>
      </c>
      <c r="U273" s="2" t="s">
        <v>34</v>
      </c>
    </row>
    <row r="274" spans="1:21" ht="60" x14ac:dyDescent="0.25">
      <c r="A274" s="2">
        <v>19</v>
      </c>
      <c r="B274" s="2" t="s">
        <v>1305</v>
      </c>
      <c r="C274" s="2" t="s">
        <v>56</v>
      </c>
      <c r="D274" s="2" t="s">
        <v>23</v>
      </c>
      <c r="E274" s="2" t="s">
        <v>24</v>
      </c>
      <c r="F274" s="2" t="s">
        <v>1124</v>
      </c>
      <c r="G274" s="2">
        <f>91-11-47006700</f>
        <v>-47006620</v>
      </c>
      <c r="H274" s="3" t="s">
        <v>1306</v>
      </c>
      <c r="I274" s="3" t="s">
        <v>1307</v>
      </c>
      <c r="J274" s="2" t="s">
        <v>1308</v>
      </c>
      <c r="K274" s="2"/>
      <c r="L274" s="2" t="s">
        <v>1309</v>
      </c>
      <c r="M274" s="2"/>
      <c r="N274" s="2"/>
      <c r="O274" s="2"/>
      <c r="P274" s="2" t="s">
        <v>31</v>
      </c>
      <c r="Q274" s="4">
        <v>45971</v>
      </c>
      <c r="R274" s="2"/>
      <c r="S274" s="2">
        <v>1</v>
      </c>
      <c r="T274" s="2" t="s">
        <v>1263</v>
      </c>
      <c r="U274" s="2" t="s">
        <v>34</v>
      </c>
    </row>
    <row r="275" spans="1:21" ht="75" x14ac:dyDescent="0.25">
      <c r="A275" s="2">
        <v>19</v>
      </c>
      <c r="B275" s="2" t="s">
        <v>1310</v>
      </c>
      <c r="C275" s="2" t="s">
        <v>56</v>
      </c>
      <c r="D275" s="2" t="s">
        <v>370</v>
      </c>
      <c r="E275" s="2" t="s">
        <v>1094</v>
      </c>
      <c r="F275" s="2" t="s">
        <v>1124</v>
      </c>
      <c r="G275" s="2">
        <f>91-731-4069999</f>
        <v>-4070639</v>
      </c>
      <c r="H275" s="3" t="s">
        <v>1311</v>
      </c>
      <c r="I275" s="3" t="s">
        <v>1312</v>
      </c>
      <c r="J275" s="2" t="s">
        <v>1313</v>
      </c>
      <c r="K275" s="2"/>
      <c r="L275" s="2" t="s">
        <v>1314</v>
      </c>
      <c r="M275" s="2"/>
      <c r="N275" s="2"/>
      <c r="O275" s="2"/>
      <c r="P275" s="2" t="s">
        <v>31</v>
      </c>
      <c r="Q275" s="4">
        <v>45971</v>
      </c>
      <c r="R275" s="2"/>
      <c r="S275" s="2">
        <v>1</v>
      </c>
      <c r="T275" s="2" t="s">
        <v>1263</v>
      </c>
      <c r="U275" s="2" t="s">
        <v>34</v>
      </c>
    </row>
    <row r="276" spans="1:21" ht="60" x14ac:dyDescent="0.25">
      <c r="A276" s="2">
        <v>19</v>
      </c>
      <c r="B276" s="2" t="s">
        <v>1315</v>
      </c>
      <c r="C276" s="2" t="s">
        <v>426</v>
      </c>
      <c r="D276" s="2" t="s">
        <v>370</v>
      </c>
      <c r="E276" s="2" t="s">
        <v>1094</v>
      </c>
      <c r="F276" s="2" t="s">
        <v>655</v>
      </c>
      <c r="G276" s="2"/>
      <c r="H276" s="2"/>
      <c r="I276" s="2"/>
      <c r="J276" s="2" t="s">
        <v>1094</v>
      </c>
      <c r="K276" s="2"/>
      <c r="L276" s="2" t="s">
        <v>1316</v>
      </c>
      <c r="M276" s="2"/>
      <c r="N276" s="2"/>
      <c r="O276" s="2"/>
      <c r="P276" s="2" t="s">
        <v>31</v>
      </c>
      <c r="Q276" s="4">
        <v>45981</v>
      </c>
      <c r="R276" s="2"/>
      <c r="S276" s="2">
        <v>1</v>
      </c>
      <c r="T276" s="2" t="s">
        <v>1263</v>
      </c>
      <c r="U276" s="2" t="s">
        <v>34</v>
      </c>
    </row>
    <row r="277" spans="1:21" ht="165" x14ac:dyDescent="0.25">
      <c r="A277" s="2">
        <v>19</v>
      </c>
      <c r="B277" s="2" t="s">
        <v>1317</v>
      </c>
      <c r="C277" s="2" t="s">
        <v>119</v>
      </c>
      <c r="D277" s="2" t="s">
        <v>298</v>
      </c>
      <c r="E277" s="2" t="s">
        <v>457</v>
      </c>
      <c r="F277" s="2" t="s">
        <v>49</v>
      </c>
      <c r="G277" s="2">
        <f>91-821-2517760</f>
        <v>-2518490</v>
      </c>
      <c r="H277" s="3" t="s">
        <v>1318</v>
      </c>
      <c r="I277" s="3" t="s">
        <v>1319</v>
      </c>
      <c r="J277" s="2" t="s">
        <v>457</v>
      </c>
      <c r="K277" s="2"/>
      <c r="L277" s="2" t="s">
        <v>1320</v>
      </c>
      <c r="M277" s="2"/>
      <c r="N277" s="2"/>
      <c r="O277" s="2"/>
      <c r="P277" s="2" t="s">
        <v>31</v>
      </c>
      <c r="Q277" s="4">
        <v>45981</v>
      </c>
      <c r="R277" s="2"/>
      <c r="S277" s="2">
        <v>1</v>
      </c>
      <c r="T277" s="2" t="s">
        <v>1263</v>
      </c>
      <c r="U277" s="2" t="s">
        <v>34</v>
      </c>
    </row>
    <row r="278" spans="1:21" ht="45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 t="s">
        <v>5</v>
      </c>
      <c r="G278" s="1" t="s">
        <v>6</v>
      </c>
      <c r="H278" s="1" t="s">
        <v>7</v>
      </c>
      <c r="I278" s="1" t="s">
        <v>8</v>
      </c>
      <c r="J278" s="1" t="s">
        <v>9</v>
      </c>
      <c r="K278" s="1" t="s">
        <v>10</v>
      </c>
      <c r="L278" s="1" t="s">
        <v>11</v>
      </c>
      <c r="M278" s="1" t="s">
        <v>12</v>
      </c>
      <c r="N278" s="1" t="s">
        <v>13</v>
      </c>
      <c r="O278" s="1" t="s">
        <v>14</v>
      </c>
      <c r="P278" s="1" t="s">
        <v>15</v>
      </c>
      <c r="Q278" s="1" t="s">
        <v>16</v>
      </c>
      <c r="R278" s="1" t="s">
        <v>17</v>
      </c>
      <c r="S278" s="1" t="s">
        <v>18</v>
      </c>
      <c r="T278" s="1" t="s">
        <v>19</v>
      </c>
      <c r="U278" s="1" t="s">
        <v>20</v>
      </c>
    </row>
    <row r="279" spans="1:21" ht="180" x14ac:dyDescent="0.25">
      <c r="A279" s="2">
        <v>20</v>
      </c>
      <c r="B279" s="2" t="s">
        <v>21</v>
      </c>
      <c r="C279" s="2" t="s">
        <v>22</v>
      </c>
      <c r="D279" s="2" t="s">
        <v>23</v>
      </c>
      <c r="E279" s="2" t="s">
        <v>24</v>
      </c>
      <c r="F279" s="2" t="s">
        <v>25</v>
      </c>
      <c r="G279" s="2">
        <f>91-11-26514044</f>
        <v>-26513964</v>
      </c>
      <c r="H279" s="3" t="s">
        <v>26</v>
      </c>
      <c r="I279" s="3" t="s">
        <v>27</v>
      </c>
      <c r="J279" s="2" t="s">
        <v>406</v>
      </c>
      <c r="K279" s="2"/>
      <c r="L279" s="2"/>
      <c r="M279" s="2" t="s">
        <v>1321</v>
      </c>
      <c r="N279" s="2"/>
      <c r="O279" s="2"/>
      <c r="P279" s="2" t="s">
        <v>31</v>
      </c>
      <c r="Q279" s="4">
        <v>45981</v>
      </c>
      <c r="R279" s="2" t="s">
        <v>1322</v>
      </c>
      <c r="S279" s="2">
        <v>1</v>
      </c>
      <c r="T279" s="2" t="s">
        <v>1323</v>
      </c>
      <c r="U279" s="2" t="s">
        <v>34</v>
      </c>
    </row>
    <row r="280" spans="1:21" ht="90" x14ac:dyDescent="0.25">
      <c r="A280" s="2">
        <v>20</v>
      </c>
      <c r="B280" s="2" t="s">
        <v>1324</v>
      </c>
      <c r="C280" s="2" t="s">
        <v>56</v>
      </c>
      <c r="D280" s="2" t="s">
        <v>841</v>
      </c>
      <c r="E280" s="2" t="s">
        <v>1325</v>
      </c>
      <c r="F280" s="2" t="s">
        <v>59</v>
      </c>
      <c r="G280" s="2">
        <f>91-161-5016000</f>
        <v>-5016070</v>
      </c>
      <c r="H280" s="3" t="s">
        <v>1326</v>
      </c>
      <c r="I280" s="3" t="s">
        <v>1327</v>
      </c>
      <c r="J280" s="2" t="s">
        <v>1328</v>
      </c>
      <c r="K280" s="2"/>
      <c r="L280" s="2" t="s">
        <v>1329</v>
      </c>
      <c r="M280" s="2"/>
      <c r="N280" s="2"/>
      <c r="O280" s="2"/>
      <c r="P280" s="2" t="s">
        <v>31</v>
      </c>
      <c r="Q280" s="4">
        <v>45971</v>
      </c>
      <c r="R280" s="2" t="s">
        <v>1330</v>
      </c>
      <c r="S280" s="2">
        <v>1</v>
      </c>
      <c r="T280" s="2" t="s">
        <v>1323</v>
      </c>
      <c r="U280" s="2" t="s">
        <v>34</v>
      </c>
    </row>
    <row r="281" spans="1:21" ht="105" x14ac:dyDescent="0.25">
      <c r="A281" s="2">
        <v>20</v>
      </c>
      <c r="B281" s="2" t="s">
        <v>1331</v>
      </c>
      <c r="C281" s="2" t="s">
        <v>56</v>
      </c>
      <c r="D281" s="2" t="s">
        <v>36</v>
      </c>
      <c r="E281" s="2" t="s">
        <v>498</v>
      </c>
      <c r="F281" s="2" t="s">
        <v>59</v>
      </c>
      <c r="G281" s="2">
        <f>91-257-2251081</f>
        <v>-2251247</v>
      </c>
      <c r="H281" s="3" t="s">
        <v>617</v>
      </c>
      <c r="I281" s="3" t="s">
        <v>618</v>
      </c>
      <c r="J281" s="2" t="s">
        <v>1332</v>
      </c>
      <c r="K281" s="2"/>
      <c r="L281" s="2" t="s">
        <v>1333</v>
      </c>
      <c r="M281" s="2"/>
      <c r="N281" s="2"/>
      <c r="O281" s="2"/>
      <c r="P281" s="2" t="s">
        <v>31</v>
      </c>
      <c r="Q281" s="4">
        <v>45971</v>
      </c>
      <c r="R281" s="2"/>
      <c r="S281" s="2">
        <v>1</v>
      </c>
      <c r="T281" s="2" t="s">
        <v>1323</v>
      </c>
      <c r="U281" s="2" t="s">
        <v>34</v>
      </c>
    </row>
    <row r="282" spans="1:21" ht="60" x14ac:dyDescent="0.25">
      <c r="A282" s="2">
        <v>20</v>
      </c>
      <c r="B282" s="2" t="s">
        <v>1334</v>
      </c>
      <c r="C282" s="2" t="s">
        <v>56</v>
      </c>
      <c r="D282" s="2" t="s">
        <v>1335</v>
      </c>
      <c r="E282" s="2" t="s">
        <v>1336</v>
      </c>
      <c r="F282" s="2" t="s">
        <v>59</v>
      </c>
      <c r="G282" s="2">
        <f>91-177-931-809-6899</f>
        <v>-8725</v>
      </c>
      <c r="H282" s="3" t="s">
        <v>1337</v>
      </c>
      <c r="I282" s="3" t="s">
        <v>1338</v>
      </c>
      <c r="J282" s="2" t="s">
        <v>1339</v>
      </c>
      <c r="K282" s="2"/>
      <c r="L282" s="2" t="s">
        <v>1340</v>
      </c>
      <c r="M282" s="2"/>
      <c r="N282" s="2"/>
      <c r="O282" s="2"/>
      <c r="P282" s="2" t="s">
        <v>31</v>
      </c>
      <c r="Q282" s="4">
        <v>45971</v>
      </c>
      <c r="R282" s="2"/>
      <c r="S282" s="2">
        <v>1</v>
      </c>
      <c r="T282" s="2" t="s">
        <v>1323</v>
      </c>
      <c r="U282" s="2" t="s">
        <v>34</v>
      </c>
    </row>
    <row r="283" spans="1:21" ht="90" x14ac:dyDescent="0.25">
      <c r="A283" s="2">
        <v>20</v>
      </c>
      <c r="B283" s="2" t="s">
        <v>1341</v>
      </c>
      <c r="C283" s="2" t="s">
        <v>56</v>
      </c>
      <c r="D283" s="2" t="s">
        <v>36</v>
      </c>
      <c r="E283" s="2" t="s">
        <v>526</v>
      </c>
      <c r="F283" s="2" t="s">
        <v>59</v>
      </c>
      <c r="G283" s="2">
        <f>91-22-22813151</f>
        <v>-22813082</v>
      </c>
      <c r="H283" s="3" t="s">
        <v>1342</v>
      </c>
      <c r="I283" s="3" t="s">
        <v>1343</v>
      </c>
      <c r="J283" s="2" t="s">
        <v>1344</v>
      </c>
      <c r="K283" s="2"/>
      <c r="L283" s="2" t="s">
        <v>1345</v>
      </c>
      <c r="M283" s="2"/>
      <c r="N283" s="2"/>
      <c r="O283" s="2"/>
      <c r="P283" s="2" t="s">
        <v>31</v>
      </c>
      <c r="Q283" s="4">
        <v>45971</v>
      </c>
      <c r="R283" s="2"/>
      <c r="S283" s="2">
        <v>1</v>
      </c>
      <c r="T283" s="2" t="s">
        <v>1323</v>
      </c>
      <c r="U283" s="2" t="s">
        <v>34</v>
      </c>
    </row>
    <row r="284" spans="1:21" ht="60" x14ac:dyDescent="0.25">
      <c r="A284" s="2">
        <v>20</v>
      </c>
      <c r="B284" s="2" t="s">
        <v>1346</v>
      </c>
      <c r="C284" s="2" t="s">
        <v>56</v>
      </c>
      <c r="D284" s="2" t="s">
        <v>36</v>
      </c>
      <c r="E284" s="2" t="s">
        <v>526</v>
      </c>
      <c r="F284" s="2" t="s">
        <v>1124</v>
      </c>
      <c r="G284" s="2">
        <f>91-22-67669999</f>
        <v>-67669930</v>
      </c>
      <c r="H284" s="3" t="s">
        <v>1347</v>
      </c>
      <c r="I284" s="3" t="s">
        <v>1348</v>
      </c>
      <c r="J284" s="2" t="s">
        <v>835</v>
      </c>
      <c r="K284" s="2"/>
      <c r="L284" s="2" t="s">
        <v>1349</v>
      </c>
      <c r="M284" s="2"/>
      <c r="N284" s="2"/>
      <c r="O284" s="2"/>
      <c r="P284" s="2" t="s">
        <v>31</v>
      </c>
      <c r="Q284" s="4">
        <v>45971</v>
      </c>
      <c r="R284" s="2" t="s">
        <v>1350</v>
      </c>
      <c r="S284" s="2">
        <v>1</v>
      </c>
      <c r="T284" s="2" t="s">
        <v>1323</v>
      </c>
      <c r="U284" s="2" t="s">
        <v>34</v>
      </c>
    </row>
    <row r="285" spans="1:21" ht="60" x14ac:dyDescent="0.25">
      <c r="A285" s="2">
        <v>20</v>
      </c>
      <c r="B285" s="2" t="s">
        <v>1351</v>
      </c>
      <c r="C285" s="2" t="s">
        <v>56</v>
      </c>
      <c r="D285" s="2" t="s">
        <v>36</v>
      </c>
      <c r="E285" s="2" t="s">
        <v>95</v>
      </c>
      <c r="F285" s="2" t="s">
        <v>59</v>
      </c>
      <c r="G285" s="2">
        <f>91-20-27462700</f>
        <v>-27462629</v>
      </c>
      <c r="H285" s="3" t="s">
        <v>1352</v>
      </c>
      <c r="I285" s="3" t="s">
        <v>1353</v>
      </c>
      <c r="J285" s="2" t="s">
        <v>1354</v>
      </c>
      <c r="K285" s="2"/>
      <c r="L285" s="2" t="s">
        <v>1355</v>
      </c>
      <c r="M285" s="2"/>
      <c r="N285" s="2"/>
      <c r="O285" s="2"/>
      <c r="P285" s="2" t="s">
        <v>31</v>
      </c>
      <c r="Q285" s="4">
        <v>45971</v>
      </c>
      <c r="R285" s="2"/>
      <c r="S285" s="2">
        <v>1</v>
      </c>
      <c r="T285" s="2" t="s">
        <v>1323</v>
      </c>
      <c r="U285" s="2" t="s">
        <v>34</v>
      </c>
    </row>
    <row r="286" spans="1:21" ht="90" x14ac:dyDescent="0.25">
      <c r="A286" s="2">
        <v>20</v>
      </c>
      <c r="B286" s="2" t="s">
        <v>1356</v>
      </c>
      <c r="C286" s="2" t="s">
        <v>56</v>
      </c>
      <c r="D286" s="2" t="s">
        <v>43</v>
      </c>
      <c r="E286" s="2" t="s">
        <v>44</v>
      </c>
      <c r="F286" s="2" t="s">
        <v>1124</v>
      </c>
      <c r="G286" s="2">
        <f>91-40-44118888</f>
        <v>-44118837</v>
      </c>
      <c r="H286" s="3" t="s">
        <v>1357</v>
      </c>
      <c r="I286" s="3" t="s">
        <v>1358</v>
      </c>
      <c r="J286" s="2" t="s">
        <v>44</v>
      </c>
      <c r="K286" s="2"/>
      <c r="L286" s="2" t="s">
        <v>1359</v>
      </c>
      <c r="M286" s="2"/>
      <c r="N286" s="2"/>
      <c r="O286" s="2"/>
      <c r="P286" s="2" t="s">
        <v>31</v>
      </c>
      <c r="Q286" s="4">
        <v>45971</v>
      </c>
      <c r="R286" s="2"/>
      <c r="S286" s="2">
        <v>1</v>
      </c>
      <c r="T286" s="2" t="s">
        <v>1323</v>
      </c>
      <c r="U286" s="2" t="s">
        <v>34</v>
      </c>
    </row>
    <row r="287" spans="1:21" ht="60" x14ac:dyDescent="0.25">
      <c r="A287" s="2">
        <v>20</v>
      </c>
      <c r="B287" s="2" t="s">
        <v>708</v>
      </c>
      <c r="C287" s="2" t="s">
        <v>56</v>
      </c>
      <c r="D287" s="2" t="s">
        <v>126</v>
      </c>
      <c r="E287" s="2" t="s">
        <v>127</v>
      </c>
      <c r="F287" s="2" t="s">
        <v>59</v>
      </c>
      <c r="G287" s="2">
        <f>91-484-3001100</f>
        <v>-3001493</v>
      </c>
      <c r="H287" s="3" t="s">
        <v>709</v>
      </c>
      <c r="I287" s="3" t="s">
        <v>710</v>
      </c>
      <c r="J287" s="2" t="s">
        <v>711</v>
      </c>
      <c r="K287" s="2"/>
      <c r="L287" s="2" t="s">
        <v>1360</v>
      </c>
      <c r="M287" s="2"/>
      <c r="N287" s="2"/>
      <c r="O287" s="2"/>
      <c r="P287" s="2" t="s">
        <v>31</v>
      </c>
      <c r="Q287" s="4">
        <v>45971</v>
      </c>
      <c r="R287" s="2"/>
      <c r="S287" s="2">
        <v>1</v>
      </c>
      <c r="T287" s="2" t="s">
        <v>1323</v>
      </c>
      <c r="U287" s="2" t="s">
        <v>34</v>
      </c>
    </row>
    <row r="288" spans="1:21" ht="45" x14ac:dyDescent="0.25">
      <c r="A288" s="2">
        <v>20</v>
      </c>
      <c r="B288" s="2" t="s">
        <v>1361</v>
      </c>
      <c r="C288" s="2" t="s">
        <v>56</v>
      </c>
      <c r="D288" s="2" t="s">
        <v>36</v>
      </c>
      <c r="E288" s="2" t="s">
        <v>1362</v>
      </c>
      <c r="F288" s="2" t="s">
        <v>59</v>
      </c>
      <c r="G288" s="2">
        <f>91-2162-262501</f>
        <v>-264572</v>
      </c>
      <c r="H288" s="3" t="s">
        <v>1363</v>
      </c>
      <c r="I288" s="3" t="s">
        <v>1364</v>
      </c>
      <c r="J288" s="2" t="s">
        <v>1365</v>
      </c>
      <c r="K288" s="2"/>
      <c r="L288" s="2" t="s">
        <v>1366</v>
      </c>
      <c r="M288" s="2"/>
      <c r="N288" s="2"/>
      <c r="O288" s="2"/>
      <c r="P288" s="2" t="s">
        <v>31</v>
      </c>
      <c r="Q288" s="4">
        <v>45971</v>
      </c>
      <c r="R288" s="2"/>
      <c r="S288" s="2">
        <v>1</v>
      </c>
      <c r="T288" s="2" t="s">
        <v>1323</v>
      </c>
      <c r="U288" s="2" t="s">
        <v>34</v>
      </c>
    </row>
    <row r="289" spans="1:21" ht="60" x14ac:dyDescent="0.25">
      <c r="A289" s="2">
        <v>20</v>
      </c>
      <c r="B289" s="2" t="s">
        <v>1367</v>
      </c>
      <c r="C289" s="2" t="s">
        <v>56</v>
      </c>
      <c r="D289" s="2" t="s">
        <v>370</v>
      </c>
      <c r="E289" s="2" t="s">
        <v>1368</v>
      </c>
      <c r="F289" s="2" t="s">
        <v>59</v>
      </c>
      <c r="G289" s="2">
        <f>91-751-4026000</f>
        <v>-4026660</v>
      </c>
      <c r="H289" s="3" t="s">
        <v>1369</v>
      </c>
      <c r="I289" s="3" t="s">
        <v>1370</v>
      </c>
      <c r="J289" s="2" t="s">
        <v>1368</v>
      </c>
      <c r="K289" s="2"/>
      <c r="L289" s="2" t="s">
        <v>1371</v>
      </c>
      <c r="M289" s="2"/>
      <c r="N289" s="2"/>
      <c r="O289" s="2"/>
      <c r="P289" s="2" t="s">
        <v>31</v>
      </c>
      <c r="Q289" s="4">
        <v>45971</v>
      </c>
      <c r="R289" s="2"/>
      <c r="S289" s="2">
        <v>1</v>
      </c>
      <c r="T289" s="2" t="s">
        <v>1323</v>
      </c>
      <c r="U289" s="2" t="s">
        <v>34</v>
      </c>
    </row>
    <row r="290" spans="1:21" ht="90" x14ac:dyDescent="0.25">
      <c r="A290" s="2">
        <v>20</v>
      </c>
      <c r="B290" s="2" t="s">
        <v>1372</v>
      </c>
      <c r="C290" s="2" t="s">
        <v>426</v>
      </c>
      <c r="D290" s="2" t="s">
        <v>135</v>
      </c>
      <c r="E290" s="2" t="s">
        <v>1373</v>
      </c>
      <c r="F290" s="2" t="s">
        <v>655</v>
      </c>
      <c r="G290" s="2"/>
      <c r="H290" s="2"/>
      <c r="I290" s="2"/>
      <c r="J290" s="2" t="s">
        <v>1374</v>
      </c>
      <c r="K290" s="2"/>
      <c r="L290" s="2" t="s">
        <v>1375</v>
      </c>
      <c r="M290" s="2"/>
      <c r="N290" s="2"/>
      <c r="O290" s="2"/>
      <c r="P290" s="2" t="s">
        <v>31</v>
      </c>
      <c r="Q290" s="4">
        <v>45981</v>
      </c>
      <c r="R290" s="2" t="s">
        <v>1376</v>
      </c>
      <c r="S290" s="2">
        <v>1</v>
      </c>
      <c r="T290" s="2" t="s">
        <v>1323</v>
      </c>
      <c r="U290" s="2" t="s">
        <v>34</v>
      </c>
    </row>
    <row r="291" spans="1:21" ht="75" x14ac:dyDescent="0.25">
      <c r="A291" s="2">
        <v>20</v>
      </c>
      <c r="B291" s="2" t="s">
        <v>1377</v>
      </c>
      <c r="C291" s="2" t="s">
        <v>426</v>
      </c>
      <c r="D291" s="2" t="s">
        <v>102</v>
      </c>
      <c r="E291" s="2" t="s">
        <v>427</v>
      </c>
      <c r="F291" s="2" t="s">
        <v>655</v>
      </c>
      <c r="G291" s="2"/>
      <c r="H291" s="2"/>
      <c r="I291" s="2"/>
      <c r="J291" s="2" t="s">
        <v>1378</v>
      </c>
      <c r="K291" s="2"/>
      <c r="L291" s="2" t="s">
        <v>1379</v>
      </c>
      <c r="M291" s="2"/>
      <c r="N291" s="2"/>
      <c r="O291" s="2"/>
      <c r="P291" s="2" t="s">
        <v>31</v>
      </c>
      <c r="Q291" s="4">
        <v>45981</v>
      </c>
      <c r="R291" s="2"/>
      <c r="S291" s="2">
        <v>1</v>
      </c>
      <c r="T291" s="2" t="s">
        <v>1323</v>
      </c>
      <c r="U291" s="2" t="s">
        <v>34</v>
      </c>
    </row>
    <row r="292" spans="1:21" ht="165" x14ac:dyDescent="0.25">
      <c r="A292" s="2">
        <v>20</v>
      </c>
      <c r="B292" s="2" t="s">
        <v>1380</v>
      </c>
      <c r="C292" s="2" t="s">
        <v>119</v>
      </c>
      <c r="D292" s="2" t="s">
        <v>298</v>
      </c>
      <c r="E292" s="2" t="s">
        <v>299</v>
      </c>
      <c r="F292" s="2" t="s">
        <v>49</v>
      </c>
      <c r="G292" s="2">
        <f>91-80-23086100</f>
        <v>-23086089</v>
      </c>
      <c r="H292" s="3" t="s">
        <v>471</v>
      </c>
      <c r="I292" s="3" t="s">
        <v>472</v>
      </c>
      <c r="J292" s="2" t="s">
        <v>1381</v>
      </c>
      <c r="K292" s="2"/>
      <c r="L292" s="2" t="s">
        <v>1382</v>
      </c>
      <c r="M292" s="2"/>
      <c r="N292" s="2"/>
      <c r="O292" s="2"/>
      <c r="P292" s="2" t="s">
        <v>31</v>
      </c>
      <c r="Q292" s="4">
        <v>45981</v>
      </c>
      <c r="R292" s="2"/>
      <c r="S292" s="2">
        <v>1</v>
      </c>
      <c r="T292" s="2" t="s">
        <v>1323</v>
      </c>
      <c r="U292" s="2" t="s">
        <v>34</v>
      </c>
    </row>
    <row r="293" spans="1:21" ht="45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5</v>
      </c>
      <c r="G293" s="1" t="s">
        <v>6</v>
      </c>
      <c r="H293" s="1" t="s">
        <v>7</v>
      </c>
      <c r="I293" s="1" t="s">
        <v>8</v>
      </c>
      <c r="J293" s="1" t="s">
        <v>9</v>
      </c>
      <c r="K293" s="1" t="s">
        <v>10</v>
      </c>
      <c r="L293" s="1" t="s">
        <v>11</v>
      </c>
      <c r="M293" s="1" t="s">
        <v>12</v>
      </c>
      <c r="N293" s="1" t="s">
        <v>13</v>
      </c>
      <c r="O293" s="1" t="s">
        <v>14</v>
      </c>
      <c r="P293" s="1" t="s">
        <v>15</v>
      </c>
      <c r="Q293" s="1" t="s">
        <v>16</v>
      </c>
      <c r="R293" s="1" t="s">
        <v>17</v>
      </c>
      <c r="S293" s="1" t="s">
        <v>18</v>
      </c>
      <c r="T293" s="1" t="s">
        <v>19</v>
      </c>
      <c r="U293" s="1" t="s">
        <v>20</v>
      </c>
    </row>
    <row r="294" spans="1:21" ht="180" x14ac:dyDescent="0.25">
      <c r="A294" s="2">
        <v>21</v>
      </c>
      <c r="B294" s="2" t="s">
        <v>21</v>
      </c>
      <c r="C294" s="2" t="s">
        <v>22</v>
      </c>
      <c r="D294" s="2" t="s">
        <v>23</v>
      </c>
      <c r="E294" s="2" t="s">
        <v>24</v>
      </c>
      <c r="F294" s="2" t="s">
        <v>25</v>
      </c>
      <c r="G294" s="2">
        <f>91-11-26514044</f>
        <v>-26513964</v>
      </c>
      <c r="H294" s="3" t="s">
        <v>26</v>
      </c>
      <c r="I294" s="3" t="s">
        <v>27</v>
      </c>
      <c r="J294" s="2" t="s">
        <v>406</v>
      </c>
      <c r="K294" s="2"/>
      <c r="L294" s="2"/>
      <c r="M294" s="2" t="s">
        <v>1383</v>
      </c>
      <c r="N294" s="2"/>
      <c r="O294" s="2"/>
      <c r="P294" s="2" t="s">
        <v>31</v>
      </c>
      <c r="Q294" s="4">
        <v>45981</v>
      </c>
      <c r="R294" s="2" t="s">
        <v>1384</v>
      </c>
      <c r="S294" s="2">
        <v>1</v>
      </c>
      <c r="T294" s="2" t="s">
        <v>1385</v>
      </c>
      <c r="U294" s="2" t="s">
        <v>34</v>
      </c>
    </row>
    <row r="295" spans="1:21" ht="75" x14ac:dyDescent="0.25">
      <c r="A295" s="2">
        <v>21</v>
      </c>
      <c r="B295" s="2" t="s">
        <v>1386</v>
      </c>
      <c r="C295" s="2" t="s">
        <v>56</v>
      </c>
      <c r="D295" s="2" t="s">
        <v>841</v>
      </c>
      <c r="E295" s="2" t="s">
        <v>1325</v>
      </c>
      <c r="F295" s="2" t="s">
        <v>59</v>
      </c>
      <c r="G295" s="2">
        <f>91-161-5016000</f>
        <v>-5016070</v>
      </c>
      <c r="H295" s="3" t="s">
        <v>1326</v>
      </c>
      <c r="I295" s="3" t="s">
        <v>1327</v>
      </c>
      <c r="J295" s="2" t="s">
        <v>1387</v>
      </c>
      <c r="K295" s="2"/>
      <c r="L295" s="2" t="s">
        <v>1388</v>
      </c>
      <c r="M295" s="2"/>
      <c r="N295" s="2"/>
      <c r="O295" s="2"/>
      <c r="P295" s="2" t="s">
        <v>31</v>
      </c>
      <c r="Q295" s="4">
        <v>45971</v>
      </c>
      <c r="R295" s="2"/>
      <c r="S295" s="2">
        <v>1</v>
      </c>
      <c r="T295" s="2" t="s">
        <v>1385</v>
      </c>
      <c r="U295" s="2" t="s">
        <v>34</v>
      </c>
    </row>
    <row r="296" spans="1:21" ht="75" x14ac:dyDescent="0.25">
      <c r="A296" s="2">
        <v>21</v>
      </c>
      <c r="B296" s="2" t="s">
        <v>1389</v>
      </c>
      <c r="C296" s="2" t="s">
        <v>56</v>
      </c>
      <c r="D296" s="2" t="s">
        <v>841</v>
      </c>
      <c r="E296" s="2" t="s">
        <v>1225</v>
      </c>
      <c r="F296" s="2" t="s">
        <v>1124</v>
      </c>
      <c r="G296" s="2">
        <f>91-1636-224000</f>
        <v>-225545</v>
      </c>
      <c r="H296" s="2"/>
      <c r="I296" s="3" t="s">
        <v>1226</v>
      </c>
      <c r="J296" s="2" t="s">
        <v>1390</v>
      </c>
      <c r="K296" s="2"/>
      <c r="L296" s="2" t="s">
        <v>1391</v>
      </c>
      <c r="M296" s="2"/>
      <c r="N296" s="2"/>
      <c r="O296" s="2"/>
      <c r="P296" s="2" t="s">
        <v>31</v>
      </c>
      <c r="Q296" s="4">
        <v>45971</v>
      </c>
      <c r="R296" s="2" t="s">
        <v>1392</v>
      </c>
      <c r="S296" s="2">
        <v>1</v>
      </c>
      <c r="T296" s="2" t="s">
        <v>1385</v>
      </c>
      <c r="U296" s="2" t="s">
        <v>34</v>
      </c>
    </row>
    <row r="297" spans="1:21" ht="120" x14ac:dyDescent="0.25">
      <c r="A297" s="2">
        <v>21</v>
      </c>
      <c r="B297" s="2" t="s">
        <v>1393</v>
      </c>
      <c r="C297" s="2" t="s">
        <v>56</v>
      </c>
      <c r="D297" s="2" t="s">
        <v>36</v>
      </c>
      <c r="E297" s="2" t="s">
        <v>526</v>
      </c>
      <c r="F297" s="2" t="s">
        <v>527</v>
      </c>
      <c r="G297" s="2">
        <f>91-22-39830000</f>
        <v>-39829931</v>
      </c>
      <c r="H297" s="2"/>
      <c r="I297" s="3" t="s">
        <v>838</v>
      </c>
      <c r="J297" s="2" t="s">
        <v>110</v>
      </c>
      <c r="K297" s="2"/>
      <c r="L297" s="2" t="s">
        <v>1394</v>
      </c>
      <c r="M297" s="2"/>
      <c r="N297" s="2"/>
      <c r="O297" s="2"/>
      <c r="P297" s="2" t="s">
        <v>31</v>
      </c>
      <c r="Q297" s="4">
        <v>45971</v>
      </c>
      <c r="R297" s="2"/>
      <c r="S297" s="2">
        <v>1</v>
      </c>
      <c r="T297" s="2" t="s">
        <v>1385</v>
      </c>
      <c r="U297" s="2" t="s">
        <v>34</v>
      </c>
    </row>
    <row r="298" spans="1:21" ht="90" x14ac:dyDescent="0.25">
      <c r="A298" s="2">
        <v>21</v>
      </c>
      <c r="B298" s="2" t="s">
        <v>1395</v>
      </c>
      <c r="C298" s="2" t="s">
        <v>56</v>
      </c>
      <c r="D298" s="2" t="s">
        <v>36</v>
      </c>
      <c r="E298" s="2" t="s">
        <v>526</v>
      </c>
      <c r="F298" s="2" t="s">
        <v>59</v>
      </c>
      <c r="G298" s="2">
        <f>91-22-66566666</f>
        <v>-66566597</v>
      </c>
      <c r="H298" s="3" t="s">
        <v>1396</v>
      </c>
      <c r="I298" s="3" t="s">
        <v>1397</v>
      </c>
      <c r="J298" s="2" t="s">
        <v>1398</v>
      </c>
      <c r="K298" s="2"/>
      <c r="L298" s="2" t="s">
        <v>1399</v>
      </c>
      <c r="M298" s="2"/>
      <c r="N298" s="2"/>
      <c r="O298" s="2"/>
      <c r="P298" s="2" t="s">
        <v>31</v>
      </c>
      <c r="Q298" s="4">
        <v>45971</v>
      </c>
      <c r="R298" s="2"/>
      <c r="S298" s="2">
        <v>1</v>
      </c>
      <c r="T298" s="2" t="s">
        <v>1385</v>
      </c>
      <c r="U298" s="2" t="s">
        <v>34</v>
      </c>
    </row>
    <row r="299" spans="1:21" ht="75" x14ac:dyDescent="0.25">
      <c r="A299" s="2">
        <v>21</v>
      </c>
      <c r="B299" s="2" t="s">
        <v>1400</v>
      </c>
      <c r="C299" s="2" t="s">
        <v>56</v>
      </c>
      <c r="D299" s="2" t="s">
        <v>321</v>
      </c>
      <c r="E299" s="2" t="s">
        <v>861</v>
      </c>
      <c r="F299" s="2" t="s">
        <v>59</v>
      </c>
      <c r="G299" s="2">
        <f>91-130-3050500</f>
        <v>-3050539</v>
      </c>
      <c r="H299" s="3" t="s">
        <v>1401</v>
      </c>
      <c r="I299" s="3" t="s">
        <v>1402</v>
      </c>
      <c r="J299" s="2" t="s">
        <v>861</v>
      </c>
      <c r="K299" s="2"/>
      <c r="L299" s="2" t="s">
        <v>1403</v>
      </c>
      <c r="M299" s="2"/>
      <c r="N299" s="2"/>
      <c r="O299" s="2"/>
      <c r="P299" s="2" t="s">
        <v>31</v>
      </c>
      <c r="Q299" s="4">
        <v>45971</v>
      </c>
      <c r="R299" s="2" t="s">
        <v>1404</v>
      </c>
      <c r="S299" s="2">
        <v>1</v>
      </c>
      <c r="T299" s="2" t="s">
        <v>1385</v>
      </c>
      <c r="U299" s="2" t="s">
        <v>34</v>
      </c>
    </row>
    <row r="300" spans="1:21" ht="105" x14ac:dyDescent="0.25">
      <c r="A300" s="2">
        <v>21</v>
      </c>
      <c r="B300" s="2" t="s">
        <v>1405</v>
      </c>
      <c r="C300" s="2" t="s">
        <v>56</v>
      </c>
      <c r="D300" s="2" t="s">
        <v>841</v>
      </c>
      <c r="E300" s="2" t="s">
        <v>1406</v>
      </c>
      <c r="F300" s="2" t="s">
        <v>59</v>
      </c>
      <c r="G300" s="2">
        <f>91-1826-222900</f>
        <v>-224635</v>
      </c>
      <c r="H300" s="3" t="s">
        <v>1407</v>
      </c>
      <c r="I300" s="3" t="s">
        <v>1408</v>
      </c>
      <c r="J300" s="2" t="s">
        <v>1409</v>
      </c>
      <c r="K300" s="2"/>
      <c r="L300" s="2" t="s">
        <v>1410</v>
      </c>
      <c r="M300" s="2"/>
      <c r="N300" s="2"/>
      <c r="O300" s="2"/>
      <c r="P300" s="2" t="s">
        <v>31</v>
      </c>
      <c r="Q300" s="4">
        <v>45971</v>
      </c>
      <c r="R300" s="2"/>
      <c r="S300" s="2">
        <v>1</v>
      </c>
      <c r="T300" s="2" t="s">
        <v>1385</v>
      </c>
      <c r="U300" s="2" t="s">
        <v>34</v>
      </c>
    </row>
    <row r="301" spans="1:21" ht="90" x14ac:dyDescent="0.25">
      <c r="A301" s="2">
        <v>21</v>
      </c>
      <c r="B301" s="2" t="s">
        <v>1411</v>
      </c>
      <c r="C301" s="2" t="s">
        <v>56</v>
      </c>
      <c r="D301" s="2" t="s">
        <v>23</v>
      </c>
      <c r="E301" s="2" t="s">
        <v>24</v>
      </c>
      <c r="F301" s="2" t="s">
        <v>59</v>
      </c>
      <c r="G301" s="2">
        <f>91-11-41888888</f>
        <v>-41888808</v>
      </c>
      <c r="H301" s="3" t="s">
        <v>1412</v>
      </c>
      <c r="I301" s="3" t="s">
        <v>1413</v>
      </c>
      <c r="J301" s="2" t="s">
        <v>1414</v>
      </c>
      <c r="K301" s="2"/>
      <c r="L301" s="2" t="s">
        <v>1415</v>
      </c>
      <c r="M301" s="2"/>
      <c r="N301" s="2"/>
      <c r="O301" s="2"/>
      <c r="P301" s="2" t="s">
        <v>31</v>
      </c>
      <c r="Q301" s="4">
        <v>45971</v>
      </c>
      <c r="R301" s="2" t="s">
        <v>1416</v>
      </c>
      <c r="S301" s="2">
        <v>1</v>
      </c>
      <c r="T301" s="2" t="s">
        <v>1385</v>
      </c>
      <c r="U301" s="2" t="s">
        <v>34</v>
      </c>
    </row>
    <row r="302" spans="1:21" ht="90" x14ac:dyDescent="0.25">
      <c r="A302" s="2">
        <v>21</v>
      </c>
      <c r="B302" s="2" t="s">
        <v>1417</v>
      </c>
      <c r="C302" s="2" t="s">
        <v>56</v>
      </c>
      <c r="D302" s="2" t="s">
        <v>102</v>
      </c>
      <c r="E302" s="2" t="s">
        <v>158</v>
      </c>
      <c r="F302" s="2" t="s">
        <v>59</v>
      </c>
      <c r="G302" s="2">
        <f>91-44-42051000</f>
        <v>-42050953</v>
      </c>
      <c r="H302" s="3" t="s">
        <v>1418</v>
      </c>
      <c r="I302" s="3" t="s">
        <v>1419</v>
      </c>
      <c r="J302" s="2" t="s">
        <v>1420</v>
      </c>
      <c r="K302" s="2"/>
      <c r="L302" s="2" t="s">
        <v>1421</v>
      </c>
      <c r="M302" s="2"/>
      <c r="N302" s="2"/>
      <c r="O302" s="2"/>
      <c r="P302" s="2" t="s">
        <v>31</v>
      </c>
      <c r="Q302" s="4">
        <v>45971</v>
      </c>
      <c r="R302" s="2"/>
      <c r="S302" s="2">
        <v>1</v>
      </c>
      <c r="T302" s="2" t="s">
        <v>1385</v>
      </c>
      <c r="U302" s="2" t="s">
        <v>34</v>
      </c>
    </row>
    <row r="303" spans="1:21" ht="90" x14ac:dyDescent="0.25">
      <c r="A303" s="2">
        <v>21</v>
      </c>
      <c r="B303" s="2" t="s">
        <v>1422</v>
      </c>
      <c r="C303" s="2" t="s">
        <v>56</v>
      </c>
      <c r="D303" s="2" t="s">
        <v>102</v>
      </c>
      <c r="E303" s="2" t="s">
        <v>158</v>
      </c>
      <c r="F303" s="2" t="s">
        <v>59</v>
      </c>
      <c r="G303" s="2">
        <f>91-44-42051000</f>
        <v>-42050953</v>
      </c>
      <c r="H303" s="2"/>
      <c r="I303" s="3" t="s">
        <v>1423</v>
      </c>
      <c r="J303" s="2" t="s">
        <v>1420</v>
      </c>
      <c r="K303" s="2"/>
      <c r="L303" s="2" t="s">
        <v>1424</v>
      </c>
      <c r="M303" s="2"/>
      <c r="N303" s="2"/>
      <c r="O303" s="2"/>
      <c r="P303" s="2" t="s">
        <v>31</v>
      </c>
      <c r="Q303" s="4">
        <v>45971</v>
      </c>
      <c r="R303" s="2"/>
      <c r="S303" s="2">
        <v>1</v>
      </c>
      <c r="T303" s="2" t="s">
        <v>1385</v>
      </c>
      <c r="U303" s="2" t="s">
        <v>34</v>
      </c>
    </row>
    <row r="304" spans="1:21" ht="75" x14ac:dyDescent="0.25">
      <c r="A304" s="2">
        <v>21</v>
      </c>
      <c r="B304" s="2" t="s">
        <v>1425</v>
      </c>
      <c r="C304" s="2" t="s">
        <v>56</v>
      </c>
      <c r="D304" s="2" t="s">
        <v>36</v>
      </c>
      <c r="E304" s="2" t="s">
        <v>526</v>
      </c>
      <c r="F304" s="2" t="s">
        <v>59</v>
      </c>
      <c r="G304" s="2">
        <f>91-22-66989000</f>
        <v>-66988931</v>
      </c>
      <c r="H304" s="2"/>
      <c r="I304" s="3" t="s">
        <v>1426</v>
      </c>
      <c r="J304" s="2" t="s">
        <v>1427</v>
      </c>
      <c r="K304" s="2"/>
      <c r="L304" s="2" t="s">
        <v>1428</v>
      </c>
      <c r="M304" s="2"/>
      <c r="N304" s="2"/>
      <c r="O304" s="2"/>
      <c r="P304" s="2" t="s">
        <v>31</v>
      </c>
      <c r="Q304" s="4">
        <v>45971</v>
      </c>
      <c r="R304" s="2"/>
      <c r="S304" s="2">
        <v>1</v>
      </c>
      <c r="T304" s="2" t="s">
        <v>1429</v>
      </c>
      <c r="U304" s="2" t="s">
        <v>34</v>
      </c>
    </row>
    <row r="305" spans="1:21" ht="75" x14ac:dyDescent="0.25">
      <c r="A305" s="2">
        <v>21</v>
      </c>
      <c r="B305" s="2" t="s">
        <v>1430</v>
      </c>
      <c r="C305" s="2" t="s">
        <v>56</v>
      </c>
      <c r="D305" s="2" t="s">
        <v>36</v>
      </c>
      <c r="E305" s="2" t="s">
        <v>526</v>
      </c>
      <c r="F305" s="2" t="s">
        <v>59</v>
      </c>
      <c r="G305" s="2">
        <f>91-22-61500000</f>
        <v>-61499931</v>
      </c>
      <c r="H305" s="2"/>
      <c r="I305" s="3" t="s">
        <v>1431</v>
      </c>
      <c r="J305" s="2" t="s">
        <v>1432</v>
      </c>
      <c r="K305" s="2"/>
      <c r="L305" s="2" t="s">
        <v>1433</v>
      </c>
      <c r="M305" s="2"/>
      <c r="N305" s="2"/>
      <c r="O305" s="2"/>
      <c r="P305" s="2" t="s">
        <v>31</v>
      </c>
      <c r="Q305" s="4">
        <v>45971</v>
      </c>
      <c r="R305" s="2"/>
      <c r="S305" s="2">
        <v>1</v>
      </c>
      <c r="T305" s="2" t="s">
        <v>1385</v>
      </c>
      <c r="U305" s="2" t="s">
        <v>34</v>
      </c>
    </row>
    <row r="306" spans="1:21" ht="90" x14ac:dyDescent="0.25">
      <c r="A306" s="2">
        <v>21</v>
      </c>
      <c r="B306" s="2" t="s">
        <v>1434</v>
      </c>
      <c r="C306" s="2" t="s">
        <v>56</v>
      </c>
      <c r="D306" s="2" t="s">
        <v>126</v>
      </c>
      <c r="E306" s="2" t="s">
        <v>127</v>
      </c>
      <c r="F306" s="2" t="s">
        <v>59</v>
      </c>
      <c r="G306" s="2">
        <f>91-484-3055000</f>
        <v>-3055393</v>
      </c>
      <c r="H306" s="3" t="s">
        <v>691</v>
      </c>
      <c r="I306" s="3" t="s">
        <v>692</v>
      </c>
      <c r="J306" s="2" t="s">
        <v>1249</v>
      </c>
      <c r="K306" s="2"/>
      <c r="L306" s="2" t="s">
        <v>1435</v>
      </c>
      <c r="M306" s="2"/>
      <c r="N306" s="2"/>
      <c r="O306" s="2"/>
      <c r="P306" s="2" t="s">
        <v>31</v>
      </c>
      <c r="Q306" s="4">
        <v>45971</v>
      </c>
      <c r="R306" s="2"/>
      <c r="S306" s="2">
        <v>1</v>
      </c>
      <c r="T306" s="2" t="s">
        <v>1385</v>
      </c>
      <c r="U306" s="2" t="s">
        <v>34</v>
      </c>
    </row>
    <row r="307" spans="1:21" ht="150" x14ac:dyDescent="0.25">
      <c r="A307" s="2">
        <v>21</v>
      </c>
      <c r="B307" s="2" t="s">
        <v>1436</v>
      </c>
      <c r="C307" s="2" t="s">
        <v>119</v>
      </c>
      <c r="D307" s="2" t="s">
        <v>841</v>
      </c>
      <c r="E307" s="2" t="s">
        <v>1325</v>
      </c>
      <c r="F307" s="2" t="s">
        <v>49</v>
      </c>
      <c r="G307" s="2">
        <f>91-161-2313111</f>
        <v>-2313181</v>
      </c>
      <c r="H307" s="3" t="s">
        <v>1437</v>
      </c>
      <c r="I307" s="3" t="s">
        <v>1438</v>
      </c>
      <c r="J307" s="2" t="s">
        <v>1325</v>
      </c>
      <c r="K307" s="2"/>
      <c r="L307" s="2" t="s">
        <v>1439</v>
      </c>
      <c r="M307" s="2"/>
      <c r="N307" s="2"/>
      <c r="O307" s="2"/>
      <c r="P307" s="2" t="s">
        <v>31</v>
      </c>
      <c r="Q307" s="4">
        <v>45981</v>
      </c>
      <c r="R307" s="2"/>
      <c r="S307" s="2">
        <v>1</v>
      </c>
      <c r="T307" s="2" t="s">
        <v>1385</v>
      </c>
      <c r="U307" s="2" t="s">
        <v>34</v>
      </c>
    </row>
    <row r="308" spans="1:21" ht="45" x14ac:dyDescent="0.2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 t="s">
        <v>5</v>
      </c>
      <c r="G308" s="1" t="s">
        <v>6</v>
      </c>
      <c r="H308" s="1" t="s">
        <v>7</v>
      </c>
      <c r="I308" s="1" t="s">
        <v>8</v>
      </c>
      <c r="J308" s="1" t="s">
        <v>9</v>
      </c>
      <c r="K308" s="1" t="s">
        <v>10</v>
      </c>
      <c r="L308" s="1" t="s">
        <v>11</v>
      </c>
      <c r="M308" s="1" t="s">
        <v>12</v>
      </c>
      <c r="N308" s="1" t="s">
        <v>13</v>
      </c>
      <c r="O308" s="1" t="s">
        <v>14</v>
      </c>
      <c r="P308" s="1" t="s">
        <v>15</v>
      </c>
      <c r="Q308" s="1" t="s">
        <v>16</v>
      </c>
      <c r="R308" s="1" t="s">
        <v>17</v>
      </c>
      <c r="S308" s="1" t="s">
        <v>18</v>
      </c>
      <c r="T308" s="1" t="s">
        <v>19</v>
      </c>
      <c r="U308" s="1" t="s">
        <v>20</v>
      </c>
    </row>
    <row r="309" spans="1:21" ht="180" x14ac:dyDescent="0.25">
      <c r="A309" s="2">
        <v>23</v>
      </c>
      <c r="B309" s="2" t="s">
        <v>21</v>
      </c>
      <c r="C309" s="2" t="s">
        <v>22</v>
      </c>
      <c r="D309" s="2" t="s">
        <v>23</v>
      </c>
      <c r="E309" s="2" t="s">
        <v>24</v>
      </c>
      <c r="F309" s="2" t="s">
        <v>25</v>
      </c>
      <c r="G309" s="2">
        <f>91-11-26514044</f>
        <v>-26513964</v>
      </c>
      <c r="H309" s="3" t="s">
        <v>26</v>
      </c>
      <c r="I309" s="3" t="s">
        <v>27</v>
      </c>
      <c r="J309" s="2" t="s">
        <v>406</v>
      </c>
      <c r="K309" s="2"/>
      <c r="L309" s="2"/>
      <c r="M309" s="2" t="s">
        <v>1440</v>
      </c>
      <c r="N309" s="2"/>
      <c r="O309" s="2"/>
      <c r="P309" s="2" t="s">
        <v>31</v>
      </c>
      <c r="Q309" s="4">
        <v>45981</v>
      </c>
      <c r="R309" s="2" t="s">
        <v>1441</v>
      </c>
      <c r="S309" s="2">
        <v>1</v>
      </c>
      <c r="T309" s="2" t="s">
        <v>1442</v>
      </c>
      <c r="U309" s="2" t="s">
        <v>34</v>
      </c>
    </row>
    <row r="310" spans="1:21" ht="105" x14ac:dyDescent="0.25">
      <c r="A310" s="2">
        <v>23</v>
      </c>
      <c r="B310" s="2" t="s">
        <v>1443</v>
      </c>
      <c r="C310" s="2" t="s">
        <v>22</v>
      </c>
      <c r="D310" s="2" t="s">
        <v>36</v>
      </c>
      <c r="E310" s="2" t="s">
        <v>526</v>
      </c>
      <c r="F310" s="2" t="s">
        <v>476</v>
      </c>
      <c r="G310" s="2">
        <f>91-22-22041004</f>
        <v>-22040935</v>
      </c>
      <c r="H310" s="3" t="s">
        <v>1444</v>
      </c>
      <c r="I310" s="3" t="s">
        <v>1445</v>
      </c>
      <c r="J310" s="2" t="s">
        <v>526</v>
      </c>
      <c r="K310" s="2"/>
      <c r="L310" s="2"/>
      <c r="M310" s="2"/>
      <c r="N310" s="2"/>
      <c r="O310" s="2"/>
      <c r="P310" s="2" t="s">
        <v>31</v>
      </c>
      <c r="Q310" s="4">
        <v>45981</v>
      </c>
      <c r="R310" s="2" t="s">
        <v>1446</v>
      </c>
      <c r="S310" s="2">
        <v>1</v>
      </c>
      <c r="T310" s="2" t="s">
        <v>1442</v>
      </c>
      <c r="U310" s="2" t="s">
        <v>34</v>
      </c>
    </row>
    <row r="311" spans="1:21" ht="90" x14ac:dyDescent="0.25">
      <c r="A311" s="2">
        <v>23</v>
      </c>
      <c r="B311" s="2" t="s">
        <v>1447</v>
      </c>
      <c r="C311" s="2" t="s">
        <v>56</v>
      </c>
      <c r="D311" s="2" t="s">
        <v>36</v>
      </c>
      <c r="E311" s="2" t="s">
        <v>526</v>
      </c>
      <c r="F311" s="2" t="s">
        <v>59</v>
      </c>
      <c r="G311" s="2">
        <f>91-22-25188010</f>
        <v>-25187941</v>
      </c>
      <c r="H311" s="2"/>
      <c r="I311" s="3" t="s">
        <v>1109</v>
      </c>
      <c r="J311" s="2" t="s">
        <v>1448</v>
      </c>
      <c r="K311" s="2"/>
      <c r="L311" s="2" t="s">
        <v>1449</v>
      </c>
      <c r="M311" s="2"/>
      <c r="N311" s="2"/>
      <c r="O311" s="2"/>
      <c r="P311" s="2" t="s">
        <v>31</v>
      </c>
      <c r="Q311" s="4">
        <v>45971</v>
      </c>
      <c r="R311" s="2"/>
      <c r="S311" s="2">
        <v>1</v>
      </c>
      <c r="T311" s="2" t="s">
        <v>1442</v>
      </c>
      <c r="U311" s="2" t="s">
        <v>34</v>
      </c>
    </row>
    <row r="312" spans="1:21" ht="90" x14ac:dyDescent="0.25">
      <c r="A312" s="2">
        <v>23</v>
      </c>
      <c r="B312" s="2" t="s">
        <v>1450</v>
      </c>
      <c r="C312" s="2" t="s">
        <v>56</v>
      </c>
      <c r="D312" s="2" t="s">
        <v>135</v>
      </c>
      <c r="E312" s="2" t="s">
        <v>187</v>
      </c>
      <c r="F312" s="2" t="s">
        <v>59</v>
      </c>
      <c r="G312" s="2">
        <f>91-891-2560111</f>
        <v>-2560911</v>
      </c>
      <c r="H312" s="3" t="s">
        <v>1451</v>
      </c>
      <c r="I312" s="3" t="s">
        <v>182</v>
      </c>
      <c r="J312" s="2" t="s">
        <v>1452</v>
      </c>
      <c r="K312" s="2"/>
      <c r="L312" s="2" t="s">
        <v>1453</v>
      </c>
      <c r="M312" s="2"/>
      <c r="N312" s="2"/>
      <c r="O312" s="2"/>
      <c r="P312" s="2" t="s">
        <v>31</v>
      </c>
      <c r="Q312" s="4">
        <v>45971</v>
      </c>
      <c r="R312" s="2" t="s">
        <v>1454</v>
      </c>
      <c r="S312" s="2">
        <v>1</v>
      </c>
      <c r="T312" s="2" t="s">
        <v>1442</v>
      </c>
      <c r="U312" s="2" t="s">
        <v>34</v>
      </c>
    </row>
    <row r="313" spans="1:21" ht="75" x14ac:dyDescent="0.25">
      <c r="A313" s="2">
        <v>23</v>
      </c>
      <c r="B313" s="2" t="s">
        <v>1455</v>
      </c>
      <c r="C313" s="2" t="s">
        <v>56</v>
      </c>
      <c r="D313" s="2" t="s">
        <v>321</v>
      </c>
      <c r="E313" s="2" t="s">
        <v>583</v>
      </c>
      <c r="F313" s="2" t="s">
        <v>800</v>
      </c>
      <c r="G313" s="2">
        <f>91-124-4100000</f>
        <v>-4100033</v>
      </c>
      <c r="H313" s="2"/>
      <c r="I313" s="3" t="s">
        <v>864</v>
      </c>
      <c r="J313" s="2" t="s">
        <v>1456</v>
      </c>
      <c r="K313" s="2"/>
      <c r="L313" s="2" t="s">
        <v>1457</v>
      </c>
      <c r="M313" s="2"/>
      <c r="N313" s="2"/>
      <c r="O313" s="2"/>
      <c r="P313" s="2" t="s">
        <v>31</v>
      </c>
      <c r="Q313" s="4">
        <v>45971</v>
      </c>
      <c r="R313" s="2"/>
      <c r="S313" s="2">
        <v>1</v>
      </c>
      <c r="T313" s="2" t="s">
        <v>1442</v>
      </c>
      <c r="U313" s="2" t="s">
        <v>34</v>
      </c>
    </row>
    <row r="314" spans="1:21" ht="75" x14ac:dyDescent="0.25">
      <c r="A314" s="2">
        <v>23</v>
      </c>
      <c r="B314" s="2" t="s">
        <v>1458</v>
      </c>
      <c r="C314" s="2" t="s">
        <v>56</v>
      </c>
      <c r="D314" s="2" t="s">
        <v>102</v>
      </c>
      <c r="E314" s="2" t="s">
        <v>103</v>
      </c>
      <c r="F314" s="2" t="s">
        <v>59</v>
      </c>
      <c r="G314" s="2">
        <f>91-422-3073000</f>
        <v>-3073331</v>
      </c>
      <c r="H314" s="3" t="s">
        <v>104</v>
      </c>
      <c r="I314" s="3" t="s">
        <v>105</v>
      </c>
      <c r="J314" s="2" t="s">
        <v>1459</v>
      </c>
      <c r="K314" s="2"/>
      <c r="L314" s="2" t="s">
        <v>1460</v>
      </c>
      <c r="M314" s="2"/>
      <c r="N314" s="2"/>
      <c r="O314" s="2"/>
      <c r="P314" s="2" t="s">
        <v>31</v>
      </c>
      <c r="Q314" s="4">
        <v>45971</v>
      </c>
      <c r="R314" s="2"/>
      <c r="S314" s="2">
        <v>1</v>
      </c>
      <c r="T314" s="2" t="s">
        <v>1442</v>
      </c>
      <c r="U314" s="2" t="s">
        <v>34</v>
      </c>
    </row>
    <row r="315" spans="1:21" ht="45" x14ac:dyDescent="0.25">
      <c r="A315" s="2">
        <v>23</v>
      </c>
      <c r="B315" s="2" t="s">
        <v>1461</v>
      </c>
      <c r="C315" s="2" t="s">
        <v>56</v>
      </c>
      <c r="D315" s="2" t="s">
        <v>147</v>
      </c>
      <c r="E315" s="2" t="s">
        <v>148</v>
      </c>
      <c r="F315" s="2" t="s">
        <v>59</v>
      </c>
      <c r="G315" s="2">
        <f>91-33-22823700</f>
        <v>-22823642</v>
      </c>
      <c r="H315" s="3" t="s">
        <v>1462</v>
      </c>
      <c r="I315" s="3" t="s">
        <v>1463</v>
      </c>
      <c r="J315" s="2" t="s">
        <v>1464</v>
      </c>
      <c r="K315" s="2"/>
      <c r="L315" s="2" t="s">
        <v>1465</v>
      </c>
      <c r="M315" s="2"/>
      <c r="N315" s="2"/>
      <c r="O315" s="2"/>
      <c r="P315" s="2" t="s">
        <v>31</v>
      </c>
      <c r="Q315" s="4">
        <v>45971</v>
      </c>
      <c r="R315" s="2"/>
      <c r="S315" s="2">
        <v>1</v>
      </c>
      <c r="T315" s="2" t="s">
        <v>1442</v>
      </c>
      <c r="U315" s="2" t="s">
        <v>34</v>
      </c>
    </row>
    <row r="316" spans="1:21" ht="75" x14ac:dyDescent="0.25">
      <c r="A316" s="2">
        <v>23</v>
      </c>
      <c r="B316" s="2" t="s">
        <v>1466</v>
      </c>
      <c r="C316" s="2" t="s">
        <v>56</v>
      </c>
      <c r="D316" s="2" t="s">
        <v>249</v>
      </c>
      <c r="E316" s="2" t="s">
        <v>250</v>
      </c>
      <c r="F316" s="2" t="s">
        <v>59</v>
      </c>
      <c r="G316" s="2">
        <f>91-7745-404000</f>
        <v>-411654</v>
      </c>
      <c r="H316" s="3" t="s">
        <v>1467</v>
      </c>
      <c r="I316" s="3" t="s">
        <v>252</v>
      </c>
      <c r="J316" s="2" t="s">
        <v>1468</v>
      </c>
      <c r="K316" s="2"/>
      <c r="L316" s="2" t="s">
        <v>1469</v>
      </c>
      <c r="M316" s="2"/>
      <c r="N316" s="2"/>
      <c r="O316" s="2"/>
      <c r="P316" s="2" t="s">
        <v>31</v>
      </c>
      <c r="Q316" s="4">
        <v>45971</v>
      </c>
      <c r="R316" s="2"/>
      <c r="S316" s="2">
        <v>1</v>
      </c>
      <c r="T316" s="2" t="s">
        <v>1442</v>
      </c>
      <c r="U316" s="2" t="s">
        <v>34</v>
      </c>
    </row>
    <row r="317" spans="1:21" ht="75" x14ac:dyDescent="0.25">
      <c r="A317" s="2">
        <v>23</v>
      </c>
      <c r="B317" s="2" t="s">
        <v>1470</v>
      </c>
      <c r="C317" s="2" t="s">
        <v>56</v>
      </c>
      <c r="D317" s="2" t="s">
        <v>298</v>
      </c>
      <c r="E317" s="2" t="s">
        <v>457</v>
      </c>
      <c r="F317" s="2" t="s">
        <v>59</v>
      </c>
      <c r="G317" s="2">
        <f>91-821-2402600</f>
        <v>-2403330</v>
      </c>
      <c r="H317" s="2"/>
      <c r="I317" s="3" t="s">
        <v>1471</v>
      </c>
      <c r="J317" s="2" t="s">
        <v>1472</v>
      </c>
      <c r="K317" s="2"/>
      <c r="L317" s="2" t="s">
        <v>1465</v>
      </c>
      <c r="M317" s="2"/>
      <c r="N317" s="2"/>
      <c r="O317" s="2"/>
      <c r="P317" s="2" t="s">
        <v>31</v>
      </c>
      <c r="Q317" s="4">
        <v>45971</v>
      </c>
      <c r="R317" s="2"/>
      <c r="S317" s="2">
        <v>1</v>
      </c>
      <c r="T317" s="2" t="s">
        <v>1442</v>
      </c>
      <c r="U317" s="2" t="s">
        <v>34</v>
      </c>
    </row>
    <row r="318" spans="1:21" ht="45" x14ac:dyDescent="0.25">
      <c r="A318" s="2">
        <v>23</v>
      </c>
      <c r="B318" s="2" t="s">
        <v>1473</v>
      </c>
      <c r="C318" s="2" t="s">
        <v>56</v>
      </c>
      <c r="D318" s="2" t="s">
        <v>135</v>
      </c>
      <c r="E318" s="2" t="s">
        <v>1474</v>
      </c>
      <c r="F318" s="2" t="s">
        <v>59</v>
      </c>
      <c r="G318" s="2">
        <f>91-866-2486666</f>
        <v>-2487441</v>
      </c>
      <c r="H318" s="2"/>
      <c r="I318" s="2"/>
      <c r="J318" s="2" t="s">
        <v>1474</v>
      </c>
      <c r="K318" s="2"/>
      <c r="L318" s="2" t="s">
        <v>1475</v>
      </c>
      <c r="M318" s="2"/>
      <c r="N318" s="2"/>
      <c r="O318" s="2"/>
      <c r="P318" s="2" t="s">
        <v>31</v>
      </c>
      <c r="Q318" s="4">
        <v>45971</v>
      </c>
      <c r="R318" s="2"/>
      <c r="S318" s="2">
        <v>1</v>
      </c>
      <c r="T318" s="2" t="s">
        <v>1442</v>
      </c>
      <c r="U318" s="2" t="s">
        <v>34</v>
      </c>
    </row>
    <row r="319" spans="1:21" ht="105" x14ac:dyDescent="0.25">
      <c r="A319" s="2">
        <v>23</v>
      </c>
      <c r="B319" s="2" t="s">
        <v>1476</v>
      </c>
      <c r="C319" s="2" t="s">
        <v>426</v>
      </c>
      <c r="D319" s="2" t="s">
        <v>1477</v>
      </c>
      <c r="E319" s="2" t="s">
        <v>1061</v>
      </c>
      <c r="F319" s="2" t="s">
        <v>655</v>
      </c>
      <c r="G319" s="2"/>
      <c r="H319" s="2"/>
      <c r="I319" s="2"/>
      <c r="J319" s="2" t="s">
        <v>1478</v>
      </c>
      <c r="K319" s="2"/>
      <c r="L319" s="2" t="s">
        <v>1479</v>
      </c>
      <c r="M319" s="2"/>
      <c r="N319" s="2"/>
      <c r="O319" s="2"/>
      <c r="P319" s="2" t="s">
        <v>31</v>
      </c>
      <c r="Q319" s="4">
        <v>45981</v>
      </c>
      <c r="R319" s="2" t="s">
        <v>1480</v>
      </c>
      <c r="S319" s="2">
        <v>1</v>
      </c>
      <c r="T319" s="2" t="s">
        <v>1442</v>
      </c>
      <c r="U319" s="2" t="s">
        <v>34</v>
      </c>
    </row>
    <row r="320" spans="1:21" ht="105" x14ac:dyDescent="0.25">
      <c r="A320" s="2">
        <v>23</v>
      </c>
      <c r="B320" s="2" t="s">
        <v>1481</v>
      </c>
      <c r="C320" s="2" t="s">
        <v>22</v>
      </c>
      <c r="D320" s="2" t="s">
        <v>370</v>
      </c>
      <c r="E320" s="2" t="s">
        <v>1094</v>
      </c>
      <c r="F320" s="2" t="s">
        <v>897</v>
      </c>
      <c r="G320" s="2">
        <f>91-731-4062176</f>
        <v>-4062816</v>
      </c>
      <c r="H320" s="3" t="s">
        <v>1482</v>
      </c>
      <c r="I320" s="3" t="s">
        <v>1483</v>
      </c>
      <c r="J320" s="2" t="s">
        <v>1094</v>
      </c>
      <c r="K320" s="2"/>
      <c r="L320" s="2" t="s">
        <v>1484</v>
      </c>
      <c r="M320" s="2"/>
      <c r="N320" s="2"/>
      <c r="O320" s="2"/>
      <c r="P320" s="2" t="s">
        <v>31</v>
      </c>
      <c r="Q320" s="4">
        <v>45981</v>
      </c>
      <c r="R320" s="2"/>
      <c r="S320" s="2">
        <v>1</v>
      </c>
      <c r="T320" s="2" t="s">
        <v>1442</v>
      </c>
      <c r="U320" s="2" t="s">
        <v>34</v>
      </c>
    </row>
    <row r="321" spans="1:21" ht="150" x14ac:dyDescent="0.25">
      <c r="A321" s="2">
        <v>23</v>
      </c>
      <c r="B321" s="2" t="s">
        <v>1485</v>
      </c>
      <c r="C321" s="2" t="s">
        <v>119</v>
      </c>
      <c r="D321" s="2" t="s">
        <v>298</v>
      </c>
      <c r="E321" s="2" t="s">
        <v>299</v>
      </c>
      <c r="F321" s="2" t="s">
        <v>49</v>
      </c>
      <c r="G321" s="2">
        <f>91-80-25711164</f>
        <v>-25711153</v>
      </c>
      <c r="H321" s="3" t="s">
        <v>1486</v>
      </c>
      <c r="I321" s="3" t="s">
        <v>1487</v>
      </c>
      <c r="J321" s="2" t="s">
        <v>1488</v>
      </c>
      <c r="K321" s="2"/>
      <c r="L321" s="2" t="s">
        <v>1489</v>
      </c>
      <c r="M321" s="2"/>
      <c r="N321" s="2"/>
      <c r="O321" s="2"/>
      <c r="P321" s="2" t="s">
        <v>31</v>
      </c>
      <c r="Q321" s="4">
        <v>45981</v>
      </c>
      <c r="R321" s="2"/>
      <c r="S321" s="2">
        <v>1</v>
      </c>
      <c r="T321" s="2" t="s">
        <v>1442</v>
      </c>
      <c r="U321" s="2" t="s">
        <v>34</v>
      </c>
    </row>
    <row r="322" spans="1:21" ht="45" x14ac:dyDescent="0.25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5</v>
      </c>
      <c r="G322" s="1" t="s">
        <v>6</v>
      </c>
      <c r="H322" s="1" t="s">
        <v>7</v>
      </c>
      <c r="I322" s="1" t="s">
        <v>8</v>
      </c>
      <c r="J322" s="1" t="s">
        <v>9</v>
      </c>
      <c r="K322" s="1" t="s">
        <v>10</v>
      </c>
      <c r="L322" s="1" t="s">
        <v>11</v>
      </c>
      <c r="M322" s="1" t="s">
        <v>12</v>
      </c>
      <c r="N322" s="1" t="s">
        <v>13</v>
      </c>
      <c r="O322" s="1" t="s">
        <v>14</v>
      </c>
      <c r="P322" s="1" t="s">
        <v>15</v>
      </c>
      <c r="Q322" s="1" t="s">
        <v>16</v>
      </c>
      <c r="R322" s="1" t="s">
        <v>17</v>
      </c>
      <c r="S322" s="1" t="s">
        <v>18</v>
      </c>
      <c r="T322" s="1" t="s">
        <v>19</v>
      </c>
      <c r="U322" s="1" t="s">
        <v>20</v>
      </c>
    </row>
    <row r="323" spans="1:21" ht="105" x14ac:dyDescent="0.25">
      <c r="A323" s="2">
        <v>33</v>
      </c>
      <c r="B323" s="2" t="s">
        <v>1490</v>
      </c>
      <c r="C323" s="2" t="s">
        <v>22</v>
      </c>
      <c r="D323" s="2" t="s">
        <v>23</v>
      </c>
      <c r="E323" s="2" t="s">
        <v>24</v>
      </c>
      <c r="F323" s="2" t="s">
        <v>476</v>
      </c>
      <c r="G323" s="2">
        <f>91-11-43774400</f>
        <v>-43774320</v>
      </c>
      <c r="H323" s="3" t="s">
        <v>1491</v>
      </c>
      <c r="I323" s="3" t="s">
        <v>1492</v>
      </c>
      <c r="J323" s="2" t="s">
        <v>24</v>
      </c>
      <c r="K323" s="2"/>
      <c r="L323" s="2"/>
      <c r="M323" s="2" t="s">
        <v>1493</v>
      </c>
      <c r="N323" s="2"/>
      <c r="O323" s="2"/>
      <c r="P323" s="2" t="s">
        <v>31</v>
      </c>
      <c r="Q323" s="4">
        <v>45982</v>
      </c>
      <c r="R323" s="2" t="s">
        <v>1494</v>
      </c>
      <c r="S323" s="2">
        <v>1</v>
      </c>
      <c r="T323" s="2" t="s">
        <v>1495</v>
      </c>
      <c r="U323" s="2" t="s">
        <v>34</v>
      </c>
    </row>
    <row r="324" spans="1:21" ht="105" x14ac:dyDescent="0.25">
      <c r="A324" s="2">
        <v>33</v>
      </c>
      <c r="B324" s="2" t="s">
        <v>1496</v>
      </c>
      <c r="C324" s="2" t="s">
        <v>22</v>
      </c>
      <c r="D324" s="2" t="s">
        <v>36</v>
      </c>
      <c r="E324" s="2" t="s">
        <v>526</v>
      </c>
      <c r="F324" s="2" t="s">
        <v>476</v>
      </c>
      <c r="G324" s="2">
        <f>91-22-26850575</f>
        <v>-26850506</v>
      </c>
      <c r="H324" s="3" t="s">
        <v>1497</v>
      </c>
      <c r="I324" s="3" t="s">
        <v>1498</v>
      </c>
      <c r="J324" s="2" t="s">
        <v>526</v>
      </c>
      <c r="K324" s="2"/>
      <c r="L324" s="2"/>
      <c r="M324" s="2"/>
      <c r="N324" s="2"/>
      <c r="O324" s="2"/>
      <c r="P324" s="2" t="s">
        <v>31</v>
      </c>
      <c r="Q324" s="4">
        <v>45982</v>
      </c>
      <c r="R324" s="2" t="s">
        <v>1499</v>
      </c>
      <c r="S324" s="2">
        <v>1</v>
      </c>
      <c r="T324" s="2" t="s">
        <v>1495</v>
      </c>
      <c r="U324" s="2" t="s">
        <v>34</v>
      </c>
    </row>
    <row r="325" spans="1:21" ht="150" x14ac:dyDescent="0.25">
      <c r="A325" s="2">
        <v>33</v>
      </c>
      <c r="B325" s="2" t="s">
        <v>1500</v>
      </c>
      <c r="C325" s="2" t="s">
        <v>426</v>
      </c>
      <c r="D325" s="2" t="s">
        <v>57</v>
      </c>
      <c r="E325" s="2" t="s">
        <v>1501</v>
      </c>
      <c r="F325" s="2" t="s">
        <v>655</v>
      </c>
      <c r="G325" s="2"/>
      <c r="H325" s="2"/>
      <c r="I325" s="2"/>
      <c r="J325" s="2" t="s">
        <v>1501</v>
      </c>
      <c r="K325" s="2"/>
      <c r="L325" s="2"/>
      <c r="M325" s="2"/>
      <c r="N325" s="2"/>
      <c r="O325" s="2"/>
      <c r="P325" s="2" t="s">
        <v>31</v>
      </c>
      <c r="Q325" s="4">
        <v>45982</v>
      </c>
      <c r="R325" s="2" t="s">
        <v>1502</v>
      </c>
      <c r="S325" s="2">
        <v>1</v>
      </c>
      <c r="T325" s="2" t="s">
        <v>1495</v>
      </c>
      <c r="U325" s="2" t="s">
        <v>34</v>
      </c>
    </row>
    <row r="326" spans="1:21" ht="75" x14ac:dyDescent="0.25">
      <c r="A326" s="2">
        <v>33</v>
      </c>
      <c r="B326" s="2" t="s">
        <v>1503</v>
      </c>
      <c r="C326" s="2" t="s">
        <v>56</v>
      </c>
      <c r="D326" s="2" t="s">
        <v>57</v>
      </c>
      <c r="E326" s="2" t="s">
        <v>1501</v>
      </c>
      <c r="F326" s="2" t="s">
        <v>59</v>
      </c>
      <c r="G326" s="2">
        <f>91-5694-234444</f>
        <v>-240047</v>
      </c>
      <c r="H326" s="3" t="s">
        <v>1504</v>
      </c>
      <c r="I326" s="3" t="s">
        <v>1505</v>
      </c>
      <c r="J326" s="2" t="s">
        <v>1501</v>
      </c>
      <c r="K326" s="2"/>
      <c r="L326" s="2"/>
      <c r="M326" s="2"/>
      <c r="N326" s="2"/>
      <c r="O326" s="2"/>
      <c r="P326" s="2" t="s">
        <v>31</v>
      </c>
      <c r="Q326" s="4">
        <v>45971</v>
      </c>
      <c r="R326" s="2" t="s">
        <v>1506</v>
      </c>
      <c r="S326" s="2">
        <v>1</v>
      </c>
      <c r="T326" s="2" t="s">
        <v>1495</v>
      </c>
      <c r="U326" s="2" t="s">
        <v>34</v>
      </c>
    </row>
    <row r="327" spans="1:21" ht="90" x14ac:dyDescent="0.25">
      <c r="A327" s="2">
        <v>33</v>
      </c>
      <c r="B327" s="2" t="s">
        <v>1507</v>
      </c>
      <c r="C327" s="2" t="s">
        <v>56</v>
      </c>
      <c r="D327" s="2" t="s">
        <v>57</v>
      </c>
      <c r="E327" s="2" t="s">
        <v>1501</v>
      </c>
      <c r="F327" s="2" t="s">
        <v>59</v>
      </c>
      <c r="G327" s="2">
        <f>91-5694-235555</f>
        <v>-241158</v>
      </c>
      <c r="H327" s="2"/>
      <c r="I327" s="2"/>
      <c r="J327" s="2" t="s">
        <v>1501</v>
      </c>
      <c r="K327" s="2"/>
      <c r="L327" s="2"/>
      <c r="M327" s="2"/>
      <c r="N327" s="2"/>
      <c r="O327" s="2"/>
      <c r="P327" s="2" t="s">
        <v>31</v>
      </c>
      <c r="Q327" s="4">
        <v>45971</v>
      </c>
      <c r="R327" s="2" t="s">
        <v>1508</v>
      </c>
      <c r="S327" s="2">
        <v>1</v>
      </c>
      <c r="T327" s="2" t="s">
        <v>1495</v>
      </c>
      <c r="U327" s="2" t="s">
        <v>34</v>
      </c>
    </row>
    <row r="328" spans="1:21" ht="60" x14ac:dyDescent="0.25">
      <c r="A328" s="2">
        <v>33</v>
      </c>
      <c r="B328" s="2" t="s">
        <v>1509</v>
      </c>
      <c r="C328" s="2" t="s">
        <v>56</v>
      </c>
      <c r="D328" s="2" t="s">
        <v>57</v>
      </c>
      <c r="E328" s="2" t="s">
        <v>1501</v>
      </c>
      <c r="F328" s="2" t="s">
        <v>49</v>
      </c>
      <c r="G328" s="2">
        <f>91-5694-236666</f>
        <v>-242269</v>
      </c>
      <c r="H328" s="2"/>
      <c r="I328" s="2"/>
      <c r="J328" s="2" t="s">
        <v>1501</v>
      </c>
      <c r="K328" s="2"/>
      <c r="L328" s="2"/>
      <c r="M328" s="2"/>
      <c r="N328" s="2"/>
      <c r="O328" s="2"/>
      <c r="P328" s="2" t="s">
        <v>31</v>
      </c>
      <c r="Q328" s="4">
        <v>45971</v>
      </c>
      <c r="R328" s="2" t="s">
        <v>1510</v>
      </c>
      <c r="S328" s="2">
        <v>1</v>
      </c>
      <c r="T328" s="2" t="s">
        <v>1495</v>
      </c>
      <c r="U328" s="2" t="s">
        <v>34</v>
      </c>
    </row>
    <row r="329" spans="1:21" ht="120" x14ac:dyDescent="0.25">
      <c r="A329" s="2">
        <v>33</v>
      </c>
      <c r="B329" s="2" t="s">
        <v>1511</v>
      </c>
      <c r="C329" s="2" t="s">
        <v>56</v>
      </c>
      <c r="D329" s="2" t="s">
        <v>57</v>
      </c>
      <c r="E329" s="2" t="s">
        <v>1512</v>
      </c>
      <c r="F329" s="2" t="s">
        <v>59</v>
      </c>
      <c r="G329" s="2">
        <f>91-512-2230000</f>
        <v>-2230421</v>
      </c>
      <c r="H329" s="3" t="s">
        <v>1513</v>
      </c>
      <c r="I329" s="3" t="s">
        <v>1514</v>
      </c>
      <c r="J329" s="2" t="s">
        <v>1512</v>
      </c>
      <c r="K329" s="2"/>
      <c r="L329" s="2"/>
      <c r="M329" s="2"/>
      <c r="N329" s="2"/>
      <c r="O329" s="2"/>
      <c r="P329" s="2" t="s">
        <v>31</v>
      </c>
      <c r="Q329" s="4">
        <v>45971</v>
      </c>
      <c r="R329" s="2" t="s">
        <v>1515</v>
      </c>
      <c r="S329" s="2">
        <v>1</v>
      </c>
      <c r="T329" s="2" t="s">
        <v>1495</v>
      </c>
      <c r="U329" s="2" t="s">
        <v>34</v>
      </c>
    </row>
    <row r="330" spans="1:21" ht="90" x14ac:dyDescent="0.25">
      <c r="A330" s="2">
        <v>33</v>
      </c>
      <c r="B330" s="2" t="s">
        <v>1516</v>
      </c>
      <c r="C330" s="2" t="s">
        <v>56</v>
      </c>
      <c r="D330" s="2" t="s">
        <v>23</v>
      </c>
      <c r="E330" s="2" t="s">
        <v>24</v>
      </c>
      <c r="F330" s="2" t="s">
        <v>59</v>
      </c>
      <c r="G330" s="2">
        <f>91-11-46560000</f>
        <v>-46559920</v>
      </c>
      <c r="H330" s="3" t="s">
        <v>1517</v>
      </c>
      <c r="I330" s="3" t="s">
        <v>1518</v>
      </c>
      <c r="J330" s="2" t="s">
        <v>1519</v>
      </c>
      <c r="K330" s="2"/>
      <c r="L330" s="2"/>
      <c r="M330" s="2"/>
      <c r="N330" s="2"/>
      <c r="O330" s="2"/>
      <c r="P330" s="2" t="s">
        <v>31</v>
      </c>
      <c r="Q330" s="4">
        <v>45971</v>
      </c>
      <c r="R330" s="2" t="s">
        <v>1520</v>
      </c>
      <c r="S330" s="2">
        <v>1</v>
      </c>
      <c r="T330" s="2" t="s">
        <v>1495</v>
      </c>
      <c r="U330" s="2" t="s">
        <v>34</v>
      </c>
    </row>
    <row r="331" spans="1:21" ht="75" x14ac:dyDescent="0.25">
      <c r="A331" s="2">
        <v>33</v>
      </c>
      <c r="B331" s="2" t="s">
        <v>1521</v>
      </c>
      <c r="C331" s="2" t="s">
        <v>56</v>
      </c>
      <c r="D331" s="2" t="s">
        <v>36</v>
      </c>
      <c r="E331" s="2" t="s">
        <v>526</v>
      </c>
      <c r="F331" s="2" t="s">
        <v>59</v>
      </c>
      <c r="G331" s="2">
        <f>91-22-40034600</f>
        <v>-40034531</v>
      </c>
      <c r="H331" s="2"/>
      <c r="I331" s="3" t="s">
        <v>1522</v>
      </c>
      <c r="J331" s="2" t="s">
        <v>526</v>
      </c>
      <c r="K331" s="2"/>
      <c r="L331" s="2"/>
      <c r="M331" s="2"/>
      <c r="N331" s="2"/>
      <c r="O331" s="2"/>
      <c r="P331" s="2" t="s">
        <v>31</v>
      </c>
      <c r="Q331" s="4">
        <v>45971</v>
      </c>
      <c r="R331" s="2" t="s">
        <v>1523</v>
      </c>
      <c r="S331" s="2">
        <v>1</v>
      </c>
      <c r="T331" s="2" t="s">
        <v>1495</v>
      </c>
      <c r="U331" s="2" t="s">
        <v>34</v>
      </c>
    </row>
    <row r="332" spans="1:21" ht="90" x14ac:dyDescent="0.25">
      <c r="A332" s="2">
        <v>33</v>
      </c>
      <c r="B332" s="2" t="s">
        <v>1524</v>
      </c>
      <c r="C332" s="2" t="s">
        <v>623</v>
      </c>
      <c r="D332" s="2" t="s">
        <v>57</v>
      </c>
      <c r="E332" s="2" t="s">
        <v>1501</v>
      </c>
      <c r="F332" s="2" t="s">
        <v>476</v>
      </c>
      <c r="G332" s="2">
        <f>91-5694-234567</f>
        <v>-240170</v>
      </c>
      <c r="H332" s="2"/>
      <c r="I332" s="2"/>
      <c r="J332" s="2" t="s">
        <v>1501</v>
      </c>
      <c r="K332" s="2"/>
      <c r="L332" s="2"/>
      <c r="M332" s="2"/>
      <c r="N332" s="2"/>
      <c r="O332" s="2"/>
      <c r="P332" s="2" t="s">
        <v>31</v>
      </c>
      <c r="Q332" s="4">
        <v>45982</v>
      </c>
      <c r="R332" s="2" t="s">
        <v>1525</v>
      </c>
      <c r="S332" s="2">
        <v>1</v>
      </c>
      <c r="T332" s="2" t="s">
        <v>1495</v>
      </c>
      <c r="U332" s="2" t="s">
        <v>34</v>
      </c>
    </row>
    <row r="333" spans="1:21" ht="165" x14ac:dyDescent="0.25">
      <c r="A333" s="2">
        <v>33</v>
      </c>
      <c r="B333" s="2" t="s">
        <v>1526</v>
      </c>
      <c r="C333" s="2" t="s">
        <v>119</v>
      </c>
      <c r="D333" s="2" t="s">
        <v>57</v>
      </c>
      <c r="E333" s="2" t="s">
        <v>1501</v>
      </c>
      <c r="F333" s="2" t="s">
        <v>49</v>
      </c>
      <c r="G333" s="2">
        <f>91-5694-234102</f>
        <v>-239705</v>
      </c>
      <c r="H333" s="3" t="s">
        <v>1527</v>
      </c>
      <c r="I333" s="3" t="s">
        <v>1528</v>
      </c>
      <c r="J333" s="2" t="s">
        <v>1529</v>
      </c>
      <c r="K333" s="2"/>
      <c r="L333" s="2"/>
      <c r="M333" s="2"/>
      <c r="N333" s="2"/>
      <c r="O333" s="2"/>
      <c r="P333" s="2" t="s">
        <v>31</v>
      </c>
      <c r="Q333" s="4">
        <v>45982</v>
      </c>
      <c r="R333" s="2" t="s">
        <v>1530</v>
      </c>
      <c r="S333" s="2">
        <v>1</v>
      </c>
      <c r="T333" s="2" t="s">
        <v>1495</v>
      </c>
      <c r="U333" s="2" t="s">
        <v>34</v>
      </c>
    </row>
    <row r="334" spans="1:21" ht="45" x14ac:dyDescent="0.2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G334" s="1" t="s">
        <v>6</v>
      </c>
      <c r="H334" s="1" t="s">
        <v>7</v>
      </c>
      <c r="I334" s="1" t="s">
        <v>8</v>
      </c>
      <c r="J334" s="1" t="s">
        <v>9</v>
      </c>
      <c r="K334" s="1" t="s">
        <v>10</v>
      </c>
      <c r="L334" s="1" t="s">
        <v>11</v>
      </c>
      <c r="M334" s="1" t="s">
        <v>12</v>
      </c>
      <c r="N334" s="1" t="s">
        <v>13</v>
      </c>
      <c r="O334" s="1" t="s">
        <v>14</v>
      </c>
      <c r="P334" s="1" t="s">
        <v>15</v>
      </c>
      <c r="Q334" s="1" t="s">
        <v>16</v>
      </c>
      <c r="R334" s="1" t="s">
        <v>17</v>
      </c>
      <c r="S334" s="1" t="s">
        <v>18</v>
      </c>
      <c r="T334" s="1" t="s">
        <v>19</v>
      </c>
      <c r="U334" s="1" t="s">
        <v>20</v>
      </c>
    </row>
    <row r="335" spans="1:21" ht="105" x14ac:dyDescent="0.25">
      <c r="A335" s="2">
        <v>41</v>
      </c>
      <c r="B335" s="2" t="s">
        <v>1531</v>
      </c>
      <c r="C335" s="2" t="s">
        <v>22</v>
      </c>
      <c r="D335" s="2" t="s">
        <v>102</v>
      </c>
      <c r="E335" s="2" t="s">
        <v>158</v>
      </c>
      <c r="F335" s="2" t="s">
        <v>897</v>
      </c>
      <c r="G335" s="2">
        <f>91-44-28594367</f>
        <v>-28594320</v>
      </c>
      <c r="H335" s="3" t="s">
        <v>1532</v>
      </c>
      <c r="I335" s="3" t="s">
        <v>1533</v>
      </c>
      <c r="J335" s="2" t="s">
        <v>1534</v>
      </c>
      <c r="K335" s="2"/>
      <c r="L335" s="2"/>
      <c r="M335" s="2" t="s">
        <v>1535</v>
      </c>
      <c r="N335" s="2"/>
      <c r="O335" s="2"/>
      <c r="P335" s="2" t="s">
        <v>31</v>
      </c>
      <c r="Q335" s="2" t="s">
        <v>1536</v>
      </c>
      <c r="R335" s="2">
        <v>1</v>
      </c>
      <c r="S335" s="2" t="s">
        <v>1537</v>
      </c>
      <c r="T335" s="2" t="s">
        <v>34</v>
      </c>
      <c r="U335" s="2"/>
    </row>
    <row r="336" spans="1:21" ht="60" x14ac:dyDescent="0.25">
      <c r="A336" s="2">
        <v>41</v>
      </c>
      <c r="B336" s="2" t="s">
        <v>1538</v>
      </c>
      <c r="C336" s="2" t="s">
        <v>22</v>
      </c>
      <c r="D336" s="2" t="s">
        <v>57</v>
      </c>
      <c r="E336" s="2" t="s">
        <v>1512</v>
      </c>
      <c r="F336" s="2" t="s">
        <v>1539</v>
      </c>
      <c r="G336" s="2">
        <f>91-512-2294783</f>
        <v>-2295204</v>
      </c>
      <c r="H336" s="3" t="s">
        <v>1540</v>
      </c>
      <c r="I336" s="3" t="s">
        <v>1533</v>
      </c>
      <c r="J336" s="2" t="s">
        <v>1512</v>
      </c>
      <c r="K336" s="2"/>
      <c r="L336" s="2"/>
      <c r="M336" s="2"/>
      <c r="N336" s="2"/>
      <c r="O336" s="2"/>
      <c r="P336" s="2" t="s">
        <v>31</v>
      </c>
      <c r="Q336" s="4">
        <v>45981</v>
      </c>
      <c r="R336" s="2" t="s">
        <v>1541</v>
      </c>
      <c r="S336" s="2">
        <v>1</v>
      </c>
      <c r="T336" s="2" t="s">
        <v>1537</v>
      </c>
      <c r="U336" s="2" t="s">
        <v>34</v>
      </c>
    </row>
    <row r="337" spans="1:21" ht="60" x14ac:dyDescent="0.25">
      <c r="A337" s="2">
        <v>41</v>
      </c>
      <c r="B337" s="2" t="s">
        <v>1542</v>
      </c>
      <c r="C337" s="2" t="s">
        <v>22</v>
      </c>
      <c r="D337" s="2" t="s">
        <v>147</v>
      </c>
      <c r="E337" s="2" t="s">
        <v>148</v>
      </c>
      <c r="F337" s="2" t="s">
        <v>38</v>
      </c>
      <c r="G337" s="2">
        <f>91-33-22891750</f>
        <v>-22891692</v>
      </c>
      <c r="H337" s="3" t="s">
        <v>1543</v>
      </c>
      <c r="I337" s="3" t="s">
        <v>1533</v>
      </c>
      <c r="J337" s="2" t="s">
        <v>1544</v>
      </c>
      <c r="K337" s="2"/>
      <c r="L337" s="2"/>
      <c r="M337" s="2"/>
      <c r="N337" s="2"/>
      <c r="O337" s="2"/>
      <c r="P337" s="2" t="s">
        <v>31</v>
      </c>
      <c r="Q337" s="4">
        <v>45981</v>
      </c>
      <c r="R337" s="2" t="s">
        <v>1545</v>
      </c>
      <c r="S337" s="2">
        <v>1</v>
      </c>
      <c r="T337" s="2" t="s">
        <v>1537</v>
      </c>
      <c r="U337" s="2" t="s">
        <v>34</v>
      </c>
    </row>
    <row r="338" spans="1:21" ht="90" x14ac:dyDescent="0.25">
      <c r="A338" s="2">
        <v>41</v>
      </c>
      <c r="B338" s="2" t="s">
        <v>1546</v>
      </c>
      <c r="C338" s="2" t="s">
        <v>56</v>
      </c>
      <c r="D338" s="2" t="s">
        <v>57</v>
      </c>
      <c r="E338" s="2" t="s">
        <v>1547</v>
      </c>
      <c r="F338" s="2" t="s">
        <v>59</v>
      </c>
      <c r="G338" s="2">
        <f>91-512-2562000</f>
        <v>-2562421</v>
      </c>
      <c r="H338" s="3" t="s">
        <v>1548</v>
      </c>
      <c r="I338" s="3" t="s">
        <v>1549</v>
      </c>
      <c r="J338" s="2" t="s">
        <v>1550</v>
      </c>
      <c r="K338" s="2"/>
      <c r="L338" s="2" t="s">
        <v>1551</v>
      </c>
      <c r="M338" s="2"/>
      <c r="N338" s="2"/>
      <c r="O338" s="2"/>
      <c r="P338" s="2" t="s">
        <v>31</v>
      </c>
      <c r="Q338" s="4">
        <v>45971</v>
      </c>
      <c r="R338" s="2" t="s">
        <v>1552</v>
      </c>
      <c r="S338" s="2">
        <v>1</v>
      </c>
      <c r="T338" s="2" t="s">
        <v>1537</v>
      </c>
      <c r="U338" s="2" t="s">
        <v>34</v>
      </c>
    </row>
    <row r="339" spans="1:21" ht="75" x14ac:dyDescent="0.25">
      <c r="A339" s="2">
        <v>41</v>
      </c>
      <c r="B339" s="2" t="s">
        <v>1553</v>
      </c>
      <c r="C339" s="2" t="s">
        <v>56</v>
      </c>
      <c r="D339" s="2" t="s">
        <v>147</v>
      </c>
      <c r="E339" s="2" t="s">
        <v>148</v>
      </c>
      <c r="F339" s="2" t="s">
        <v>1554</v>
      </c>
      <c r="G339" s="2">
        <f>91-33-22882000</f>
        <v>-22881942</v>
      </c>
      <c r="H339" s="3" t="s">
        <v>1555</v>
      </c>
      <c r="I339" s="3" t="s">
        <v>1556</v>
      </c>
      <c r="J339" s="2" t="s">
        <v>1557</v>
      </c>
      <c r="K339" s="2"/>
      <c r="L339" s="2" t="s">
        <v>1558</v>
      </c>
      <c r="M339" s="2"/>
      <c r="N339" s="2"/>
      <c r="O339" s="2"/>
      <c r="P339" s="2" t="s">
        <v>31</v>
      </c>
      <c r="Q339" s="4">
        <v>45971</v>
      </c>
      <c r="R339" s="2"/>
      <c r="S339" s="2">
        <v>1</v>
      </c>
      <c r="T339" s="2" t="s">
        <v>1537</v>
      </c>
      <c r="U339" s="2" t="s">
        <v>34</v>
      </c>
    </row>
    <row r="340" spans="1:21" ht="75" x14ac:dyDescent="0.25">
      <c r="A340" s="2">
        <v>41</v>
      </c>
      <c r="B340" s="2" t="s">
        <v>1559</v>
      </c>
      <c r="C340" s="2" t="s">
        <v>56</v>
      </c>
      <c r="D340" s="2" t="s">
        <v>57</v>
      </c>
      <c r="E340" s="2" t="s">
        <v>1547</v>
      </c>
      <c r="F340" s="2" t="s">
        <v>59</v>
      </c>
      <c r="G340" s="2">
        <f>91-512-2530777</f>
        <v>-2531198</v>
      </c>
      <c r="H340" s="3" t="s">
        <v>1560</v>
      </c>
      <c r="I340" s="3" t="s">
        <v>1561</v>
      </c>
      <c r="J340" s="2" t="s">
        <v>1562</v>
      </c>
      <c r="K340" s="2"/>
      <c r="L340" s="2" t="s">
        <v>1563</v>
      </c>
      <c r="M340" s="2"/>
      <c r="N340" s="2"/>
      <c r="O340" s="2"/>
      <c r="P340" s="2" t="s">
        <v>31</v>
      </c>
      <c r="Q340" s="4">
        <v>45971</v>
      </c>
      <c r="R340" s="2"/>
      <c r="S340" s="2">
        <v>1</v>
      </c>
      <c r="T340" s="2" t="s">
        <v>1537</v>
      </c>
      <c r="U340" s="2" t="s">
        <v>34</v>
      </c>
    </row>
    <row r="341" spans="1:21" ht="75" x14ac:dyDescent="0.25">
      <c r="A341" s="2">
        <v>41</v>
      </c>
      <c r="B341" s="2" t="s">
        <v>1564</v>
      </c>
      <c r="C341" s="2" t="s">
        <v>56</v>
      </c>
      <c r="D341" s="2" t="s">
        <v>102</v>
      </c>
      <c r="E341" s="2" t="s">
        <v>1565</v>
      </c>
      <c r="F341" s="2" t="s">
        <v>59</v>
      </c>
      <c r="G341" s="2">
        <f>91-4174-244051</f>
        <v>-248134</v>
      </c>
      <c r="H341" s="3" t="s">
        <v>1566</v>
      </c>
      <c r="I341" s="3" t="s">
        <v>1567</v>
      </c>
      <c r="J341" s="2" t="s">
        <v>1568</v>
      </c>
      <c r="K341" s="2"/>
      <c r="L341" s="2" t="s">
        <v>1569</v>
      </c>
      <c r="M341" s="2"/>
      <c r="N341" s="2"/>
      <c r="O341" s="2"/>
      <c r="P341" s="2" t="s">
        <v>31</v>
      </c>
      <c r="Q341" s="4">
        <v>45971</v>
      </c>
      <c r="R341" s="2" t="s">
        <v>1570</v>
      </c>
      <c r="S341" s="2">
        <v>1</v>
      </c>
      <c r="T341" s="2" t="s">
        <v>1537</v>
      </c>
      <c r="U341" s="2" t="s">
        <v>34</v>
      </c>
    </row>
    <row r="342" spans="1:21" ht="60" x14ac:dyDescent="0.25">
      <c r="A342" s="2">
        <v>41</v>
      </c>
      <c r="B342" s="2" t="s">
        <v>1571</v>
      </c>
      <c r="C342" s="2" t="s">
        <v>56</v>
      </c>
      <c r="D342" s="2" t="s">
        <v>102</v>
      </c>
      <c r="E342" s="2" t="s">
        <v>1572</v>
      </c>
      <c r="F342" s="2" t="s">
        <v>59</v>
      </c>
      <c r="G342" s="2">
        <f>91-4174-225066</f>
        <v>-229149</v>
      </c>
      <c r="H342" s="2"/>
      <c r="I342" s="3" t="s">
        <v>1573</v>
      </c>
      <c r="J342" s="2" t="s">
        <v>1574</v>
      </c>
      <c r="K342" s="2"/>
      <c r="L342" s="2" t="s">
        <v>1575</v>
      </c>
      <c r="M342" s="2"/>
      <c r="N342" s="2"/>
      <c r="O342" s="2"/>
      <c r="P342" s="2" t="s">
        <v>31</v>
      </c>
      <c r="Q342" s="4">
        <v>45971</v>
      </c>
      <c r="R342" s="2"/>
      <c r="S342" s="2">
        <v>1</v>
      </c>
      <c r="T342" s="2" t="s">
        <v>1537</v>
      </c>
      <c r="U342" s="2" t="s">
        <v>34</v>
      </c>
    </row>
    <row r="343" spans="1:21" ht="75" x14ac:dyDescent="0.25">
      <c r="A343" s="2">
        <v>41</v>
      </c>
      <c r="B343" s="2" t="s">
        <v>1576</v>
      </c>
      <c r="C343" s="2" t="s">
        <v>56</v>
      </c>
      <c r="D343" s="2" t="s">
        <v>102</v>
      </c>
      <c r="E343" s="2" t="s">
        <v>158</v>
      </c>
      <c r="F343" s="2" t="s">
        <v>59</v>
      </c>
      <c r="G343" s="2">
        <f>91-44-42946000</f>
        <v>-42945953</v>
      </c>
      <c r="H343" s="3" t="s">
        <v>1577</v>
      </c>
      <c r="I343" s="3" t="s">
        <v>1578</v>
      </c>
      <c r="J343" s="2" t="s">
        <v>1579</v>
      </c>
      <c r="K343" s="2"/>
      <c r="L343" s="2" t="s">
        <v>1580</v>
      </c>
      <c r="M343" s="2"/>
      <c r="N343" s="2"/>
      <c r="O343" s="2"/>
      <c r="P343" s="2" t="s">
        <v>31</v>
      </c>
      <c r="Q343" s="4">
        <v>45971</v>
      </c>
      <c r="R343" s="2"/>
      <c r="S343" s="2">
        <v>1</v>
      </c>
      <c r="T343" s="2" t="s">
        <v>1537</v>
      </c>
      <c r="U343" s="2" t="s">
        <v>34</v>
      </c>
    </row>
    <row r="344" spans="1:21" ht="90" x14ac:dyDescent="0.25">
      <c r="A344" s="2">
        <v>41</v>
      </c>
      <c r="B344" s="2" t="s">
        <v>1581</v>
      </c>
      <c r="C344" s="2" t="s">
        <v>56</v>
      </c>
      <c r="D344" s="2" t="s">
        <v>102</v>
      </c>
      <c r="E344" s="2" t="s">
        <v>1572</v>
      </c>
      <c r="F344" s="2" t="s">
        <v>49</v>
      </c>
      <c r="G344" s="2">
        <f>91-4174-232501</f>
        <v>-236584</v>
      </c>
      <c r="H344" s="2"/>
      <c r="I344" s="2"/>
      <c r="J344" s="2" t="s">
        <v>1572</v>
      </c>
      <c r="K344" s="2"/>
      <c r="L344" s="2" t="s">
        <v>1582</v>
      </c>
      <c r="M344" s="2"/>
      <c r="N344" s="2"/>
      <c r="O344" s="2"/>
      <c r="P344" s="2" t="s">
        <v>31</v>
      </c>
      <c r="Q344" s="4">
        <v>45971</v>
      </c>
      <c r="R344" s="2" t="s">
        <v>1583</v>
      </c>
      <c r="S344" s="2">
        <v>1</v>
      </c>
      <c r="T344" s="2" t="s">
        <v>1537</v>
      </c>
      <c r="U344" s="2" t="s">
        <v>34</v>
      </c>
    </row>
    <row r="345" spans="1:21" ht="90" x14ac:dyDescent="0.25">
      <c r="A345" s="2">
        <v>41</v>
      </c>
      <c r="B345" s="2" t="s">
        <v>1584</v>
      </c>
      <c r="C345" s="2" t="s">
        <v>426</v>
      </c>
      <c r="D345" s="2" t="s">
        <v>57</v>
      </c>
      <c r="E345" s="2" t="s">
        <v>1547</v>
      </c>
      <c r="F345" s="2" t="s">
        <v>655</v>
      </c>
      <c r="G345" s="2"/>
      <c r="H345" s="2"/>
      <c r="I345" s="2"/>
      <c r="J345" s="2" t="s">
        <v>1585</v>
      </c>
      <c r="K345" s="2"/>
      <c r="L345" s="2" t="s">
        <v>1586</v>
      </c>
      <c r="M345" s="2"/>
      <c r="N345" s="2"/>
      <c r="O345" s="2"/>
      <c r="P345" s="2" t="s">
        <v>31</v>
      </c>
      <c r="Q345" s="4">
        <v>45981</v>
      </c>
      <c r="R345" s="2" t="s">
        <v>1587</v>
      </c>
      <c r="S345" s="2">
        <v>1</v>
      </c>
      <c r="T345" s="2" t="s">
        <v>1537</v>
      </c>
      <c r="U345" s="2" t="s">
        <v>34</v>
      </c>
    </row>
    <row r="346" spans="1:21" ht="90" x14ac:dyDescent="0.25">
      <c r="A346" s="2">
        <v>41</v>
      </c>
      <c r="B346" s="2" t="s">
        <v>1588</v>
      </c>
      <c r="C346" s="2" t="s">
        <v>426</v>
      </c>
      <c r="D346" s="2" t="s">
        <v>102</v>
      </c>
      <c r="E346" s="2" t="s">
        <v>1589</v>
      </c>
      <c r="F346" s="2" t="s">
        <v>655</v>
      </c>
      <c r="G346" s="2"/>
      <c r="H346" s="2"/>
      <c r="I346" s="2"/>
      <c r="J346" s="2" t="s">
        <v>1590</v>
      </c>
      <c r="K346" s="2"/>
      <c r="L346" s="2" t="s">
        <v>1591</v>
      </c>
      <c r="M346" s="2"/>
      <c r="N346" s="2"/>
      <c r="O346" s="2"/>
      <c r="P346" s="2" t="s">
        <v>31</v>
      </c>
      <c r="Q346" s="4">
        <v>45981</v>
      </c>
      <c r="R346" s="2"/>
      <c r="S346" s="2">
        <v>1</v>
      </c>
      <c r="T346" s="2" t="s">
        <v>1537</v>
      </c>
      <c r="U346" s="2" t="s">
        <v>34</v>
      </c>
    </row>
    <row r="347" spans="1:21" ht="105" x14ac:dyDescent="0.25">
      <c r="A347" s="2">
        <v>41</v>
      </c>
      <c r="B347" s="2" t="s">
        <v>1592</v>
      </c>
      <c r="C347" s="2" t="s">
        <v>119</v>
      </c>
      <c r="D347" s="2" t="s">
        <v>102</v>
      </c>
      <c r="E347" s="2" t="s">
        <v>158</v>
      </c>
      <c r="F347" s="2" t="s">
        <v>49</v>
      </c>
      <c r="G347" s="2">
        <f>91-44-24910897</f>
        <v>-24910850</v>
      </c>
      <c r="H347" s="3" t="s">
        <v>1593</v>
      </c>
      <c r="I347" s="3" t="s">
        <v>1594</v>
      </c>
      <c r="J347" s="2" t="s">
        <v>1595</v>
      </c>
      <c r="K347" s="2"/>
      <c r="L347" s="2" t="s">
        <v>1596</v>
      </c>
      <c r="M347" s="2"/>
      <c r="N347" s="2"/>
      <c r="O347" s="2"/>
      <c r="P347" s="2" t="s">
        <v>31</v>
      </c>
      <c r="Q347" s="4">
        <v>45981</v>
      </c>
      <c r="R347" s="2"/>
      <c r="S347" s="2">
        <v>1</v>
      </c>
      <c r="T347" s="2" t="s">
        <v>1537</v>
      </c>
      <c r="U347" s="2" t="s">
        <v>34</v>
      </c>
    </row>
    <row r="348" spans="1:21" ht="45" x14ac:dyDescent="0.25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1" t="s">
        <v>5</v>
      </c>
      <c r="G348" s="1" t="s">
        <v>6</v>
      </c>
      <c r="H348" s="1" t="s">
        <v>7</v>
      </c>
      <c r="I348" s="1" t="s">
        <v>8</v>
      </c>
      <c r="J348" s="1" t="s">
        <v>9</v>
      </c>
      <c r="K348" s="1" t="s">
        <v>10</v>
      </c>
      <c r="L348" s="1" t="s">
        <v>11</v>
      </c>
      <c r="M348" s="1" t="s">
        <v>12</v>
      </c>
      <c r="N348" s="1" t="s">
        <v>13</v>
      </c>
      <c r="O348" s="1" t="s">
        <v>14</v>
      </c>
      <c r="P348" s="1" t="s">
        <v>15</v>
      </c>
      <c r="Q348" s="1" t="s">
        <v>16</v>
      </c>
      <c r="R348" s="1" t="s">
        <v>17</v>
      </c>
      <c r="S348" s="1" t="s">
        <v>18</v>
      </c>
      <c r="T348" s="1" t="s">
        <v>19</v>
      </c>
      <c r="U348" s="1" t="s">
        <v>20</v>
      </c>
    </row>
    <row r="349" spans="1:21" ht="105" x14ac:dyDescent="0.25">
      <c r="A349" s="2">
        <v>42</v>
      </c>
      <c r="B349" s="2" t="s">
        <v>1531</v>
      </c>
      <c r="C349" s="2" t="s">
        <v>22</v>
      </c>
      <c r="D349" s="2" t="s">
        <v>102</v>
      </c>
      <c r="E349" s="2" t="s">
        <v>158</v>
      </c>
      <c r="F349" s="2" t="s">
        <v>897</v>
      </c>
      <c r="G349" s="2">
        <f>91-44-28594367</f>
        <v>-28594320</v>
      </c>
      <c r="H349" s="3" t="s">
        <v>1532</v>
      </c>
      <c r="I349" s="3" t="s">
        <v>1533</v>
      </c>
      <c r="J349" s="2" t="s">
        <v>1597</v>
      </c>
      <c r="K349" s="2"/>
      <c r="L349" s="2"/>
      <c r="M349" s="2" t="s">
        <v>1598</v>
      </c>
      <c r="N349" s="2"/>
      <c r="O349" s="2"/>
      <c r="P349" s="2" t="s">
        <v>31</v>
      </c>
      <c r="Q349" s="4">
        <v>45981</v>
      </c>
      <c r="R349" s="2" t="s">
        <v>1599</v>
      </c>
      <c r="S349" s="2">
        <v>1</v>
      </c>
      <c r="T349" s="2" t="s">
        <v>1600</v>
      </c>
      <c r="U349" s="2" t="s">
        <v>34</v>
      </c>
    </row>
    <row r="350" spans="1:21" ht="75" x14ac:dyDescent="0.25">
      <c r="A350" s="2">
        <v>42</v>
      </c>
      <c r="B350" s="2" t="s">
        <v>1542</v>
      </c>
      <c r="C350" s="2" t="s">
        <v>22</v>
      </c>
      <c r="D350" s="2" t="s">
        <v>147</v>
      </c>
      <c r="E350" s="2" t="s">
        <v>148</v>
      </c>
      <c r="F350" s="2" t="s">
        <v>38</v>
      </c>
      <c r="G350" s="2">
        <f>91-33-22891750</f>
        <v>-22891692</v>
      </c>
      <c r="H350" s="3" t="s">
        <v>1543</v>
      </c>
      <c r="I350" s="3" t="s">
        <v>1533</v>
      </c>
      <c r="J350" s="2" t="s">
        <v>148</v>
      </c>
      <c r="K350" s="2"/>
      <c r="L350" s="2"/>
      <c r="M350" s="2"/>
      <c r="N350" s="2"/>
      <c r="O350" s="2"/>
      <c r="P350" s="2" t="s">
        <v>31</v>
      </c>
      <c r="Q350" s="4">
        <v>45981</v>
      </c>
      <c r="R350" s="2" t="s">
        <v>1601</v>
      </c>
      <c r="S350" s="2">
        <v>1</v>
      </c>
      <c r="T350" s="2" t="s">
        <v>1600</v>
      </c>
      <c r="U350" s="2" t="s">
        <v>34</v>
      </c>
    </row>
    <row r="351" spans="1:21" ht="105" x14ac:dyDescent="0.25">
      <c r="A351" s="2">
        <v>42</v>
      </c>
      <c r="B351" s="2" t="s">
        <v>1602</v>
      </c>
      <c r="C351" s="2" t="s">
        <v>315</v>
      </c>
      <c r="D351" s="2" t="s">
        <v>1603</v>
      </c>
      <c r="E351" s="2" t="s">
        <v>1604</v>
      </c>
      <c r="F351" s="2" t="s">
        <v>1605</v>
      </c>
      <c r="G351" s="2">
        <f>91-44-66202000</f>
        <v>-66201953</v>
      </c>
      <c r="H351" s="3" t="s">
        <v>1606</v>
      </c>
      <c r="I351" s="3" t="s">
        <v>1556</v>
      </c>
      <c r="J351" s="2" t="s">
        <v>1607</v>
      </c>
      <c r="K351" s="2"/>
      <c r="L351" s="2" t="s">
        <v>1608</v>
      </c>
      <c r="M351" s="2"/>
      <c r="N351" s="2"/>
      <c r="O351" s="2"/>
      <c r="P351" s="2" t="s">
        <v>31</v>
      </c>
      <c r="Q351" s="4">
        <v>45971</v>
      </c>
      <c r="R351" s="2" t="s">
        <v>1609</v>
      </c>
      <c r="S351" s="2">
        <v>1</v>
      </c>
      <c r="T351" s="2" t="s">
        <v>1600</v>
      </c>
      <c r="U351" s="2" t="s">
        <v>34</v>
      </c>
    </row>
    <row r="352" spans="1:21" ht="105" x14ac:dyDescent="0.25">
      <c r="A352" s="2">
        <v>42</v>
      </c>
      <c r="B352" s="2" t="s">
        <v>1610</v>
      </c>
      <c r="C352" s="2" t="s">
        <v>315</v>
      </c>
      <c r="D352" s="2" t="s">
        <v>36</v>
      </c>
      <c r="E352" s="2" t="s">
        <v>526</v>
      </c>
      <c r="F352" s="2" t="s">
        <v>59</v>
      </c>
      <c r="G352" s="2">
        <f>91-22-66539000</f>
        <v>-66538931</v>
      </c>
      <c r="H352" s="3" t="s">
        <v>1611</v>
      </c>
      <c r="I352" s="3" t="s">
        <v>1612</v>
      </c>
      <c r="J352" s="2" t="s">
        <v>1613</v>
      </c>
      <c r="K352" s="2"/>
      <c r="L352" s="2" t="s">
        <v>1614</v>
      </c>
      <c r="M352" s="2"/>
      <c r="N352" s="2"/>
      <c r="O352" s="2"/>
      <c r="P352" s="2" t="s">
        <v>31</v>
      </c>
      <c r="Q352" s="4">
        <v>45971</v>
      </c>
      <c r="R352" s="2" t="s">
        <v>1615</v>
      </c>
      <c r="S352" s="2">
        <v>1</v>
      </c>
      <c r="T352" s="2" t="s">
        <v>1600</v>
      </c>
      <c r="U352" s="2" t="s">
        <v>34</v>
      </c>
    </row>
    <row r="353" spans="1:21" ht="90" x14ac:dyDescent="0.25">
      <c r="A353" s="2">
        <v>42</v>
      </c>
      <c r="B353" s="2" t="s">
        <v>1616</v>
      </c>
      <c r="C353" s="2" t="s">
        <v>315</v>
      </c>
      <c r="D353" s="2" t="s">
        <v>23</v>
      </c>
      <c r="E353" s="2" t="s">
        <v>24</v>
      </c>
      <c r="F353" s="2" t="s">
        <v>59</v>
      </c>
      <c r="G353" s="2">
        <f>91-11-41042424</f>
        <v>-41042344</v>
      </c>
      <c r="H353" s="3" t="s">
        <v>1617</v>
      </c>
      <c r="I353" s="3" t="s">
        <v>1618</v>
      </c>
      <c r="J353" s="2" t="s">
        <v>1619</v>
      </c>
      <c r="K353" s="2"/>
      <c r="L353" s="2" t="s">
        <v>1620</v>
      </c>
      <c r="M353" s="2"/>
      <c r="N353" s="2"/>
      <c r="O353" s="2"/>
      <c r="P353" s="2" t="s">
        <v>31</v>
      </c>
      <c r="Q353" s="4">
        <v>45971</v>
      </c>
      <c r="R353" s="2"/>
      <c r="S353" s="2">
        <v>1</v>
      </c>
      <c r="T353" s="2" t="s">
        <v>1600</v>
      </c>
      <c r="U353" s="2" t="s">
        <v>34</v>
      </c>
    </row>
    <row r="354" spans="1:21" ht="75" x14ac:dyDescent="0.25">
      <c r="A354" s="2">
        <v>42</v>
      </c>
      <c r="B354" s="2" t="s">
        <v>1621</v>
      </c>
      <c r="C354" s="2" t="s">
        <v>315</v>
      </c>
      <c r="D354" s="2" t="s">
        <v>1622</v>
      </c>
      <c r="E354" s="2" t="s">
        <v>1622</v>
      </c>
      <c r="F354" s="2" t="s">
        <v>59</v>
      </c>
      <c r="G354" s="2">
        <f>91-413-4200000</f>
        <v>-4200322</v>
      </c>
      <c r="H354" s="3" t="s">
        <v>1623</v>
      </c>
      <c r="I354" s="3" t="s">
        <v>1624</v>
      </c>
      <c r="J354" s="2" t="s">
        <v>1625</v>
      </c>
      <c r="K354" s="2"/>
      <c r="L354" s="2" t="s">
        <v>1626</v>
      </c>
      <c r="M354" s="2"/>
      <c r="N354" s="2"/>
      <c r="O354" s="2"/>
      <c r="P354" s="2" t="s">
        <v>31</v>
      </c>
      <c r="Q354" s="4">
        <v>45971</v>
      </c>
      <c r="R354" s="2"/>
      <c r="S354" s="2">
        <v>1</v>
      </c>
      <c r="T354" s="2" t="s">
        <v>1600</v>
      </c>
      <c r="U354" s="2" t="s">
        <v>34</v>
      </c>
    </row>
    <row r="355" spans="1:21" ht="105" x14ac:dyDescent="0.25">
      <c r="A355" s="2">
        <v>42</v>
      </c>
      <c r="B355" s="2" t="s">
        <v>1627</v>
      </c>
      <c r="C355" s="2" t="s">
        <v>315</v>
      </c>
      <c r="D355" s="2" t="s">
        <v>102</v>
      </c>
      <c r="E355" s="2" t="s">
        <v>158</v>
      </c>
      <c r="F355" s="2" t="s">
        <v>49</v>
      </c>
      <c r="G355" s="2">
        <f>91-44-45926000</f>
        <v>-45925953</v>
      </c>
      <c r="H355" s="2"/>
      <c r="I355" s="3" t="s">
        <v>1628</v>
      </c>
      <c r="J355" s="2" t="s">
        <v>158</v>
      </c>
      <c r="K355" s="2"/>
      <c r="L355" s="2" t="s">
        <v>1629</v>
      </c>
      <c r="M355" s="2"/>
      <c r="N355" s="2"/>
      <c r="O355" s="2"/>
      <c r="P355" s="2" t="s">
        <v>31</v>
      </c>
      <c r="Q355" s="4">
        <v>45971</v>
      </c>
      <c r="R355" s="2"/>
      <c r="S355" s="2">
        <v>1</v>
      </c>
      <c r="T355" s="2" t="s">
        <v>1600</v>
      </c>
      <c r="U355" s="2" t="s">
        <v>34</v>
      </c>
    </row>
    <row r="356" spans="1:21" ht="90" x14ac:dyDescent="0.25">
      <c r="A356" s="2">
        <v>42</v>
      </c>
      <c r="B356" s="2" t="s">
        <v>1630</v>
      </c>
      <c r="C356" s="2" t="s">
        <v>315</v>
      </c>
      <c r="D356" s="2" t="s">
        <v>57</v>
      </c>
      <c r="E356" s="2" t="s">
        <v>1512</v>
      </c>
      <c r="F356" s="2" t="s">
        <v>59</v>
      </c>
      <c r="G356" s="2">
        <f>91-512-2699999</f>
        <v>-2700420</v>
      </c>
      <c r="H356" s="2"/>
      <c r="I356" s="2"/>
      <c r="J356" s="2" t="s">
        <v>1512</v>
      </c>
      <c r="K356" s="2"/>
      <c r="L356" s="2" t="s">
        <v>1631</v>
      </c>
      <c r="M356" s="2"/>
      <c r="N356" s="2"/>
      <c r="O356" s="2"/>
      <c r="P356" s="2" t="s">
        <v>31</v>
      </c>
      <c r="Q356" s="4">
        <v>45971</v>
      </c>
      <c r="R356" s="2"/>
      <c r="S356" s="2">
        <v>1</v>
      </c>
      <c r="T356" s="2" t="s">
        <v>1600</v>
      </c>
      <c r="U356" s="2" t="s">
        <v>34</v>
      </c>
    </row>
    <row r="357" spans="1:21" ht="105" x14ac:dyDescent="0.25">
      <c r="A357" s="2">
        <v>42</v>
      </c>
      <c r="B357" s="2" t="s">
        <v>1632</v>
      </c>
      <c r="C357" s="2" t="s">
        <v>315</v>
      </c>
      <c r="D357" s="2" t="s">
        <v>102</v>
      </c>
      <c r="E357" s="2" t="s">
        <v>1633</v>
      </c>
      <c r="F357" s="2" t="s">
        <v>59</v>
      </c>
      <c r="G357" s="2">
        <f>91-4174-244051</f>
        <v>-248134</v>
      </c>
      <c r="H357" s="3" t="s">
        <v>1634</v>
      </c>
      <c r="I357" s="3" t="s">
        <v>1567</v>
      </c>
      <c r="J357" s="2" t="s">
        <v>1635</v>
      </c>
      <c r="K357" s="2"/>
      <c r="L357" s="2" t="s">
        <v>1636</v>
      </c>
      <c r="M357" s="2"/>
      <c r="N357" s="2"/>
      <c r="O357" s="2"/>
      <c r="P357" s="2" t="s">
        <v>31</v>
      </c>
      <c r="Q357" s="4">
        <v>45971</v>
      </c>
      <c r="R357" s="2"/>
      <c r="S357" s="2">
        <v>1</v>
      </c>
      <c r="T357" s="2" t="s">
        <v>1600</v>
      </c>
      <c r="U357" s="2" t="s">
        <v>34</v>
      </c>
    </row>
    <row r="358" spans="1:21" ht="90" x14ac:dyDescent="0.25">
      <c r="A358" s="2">
        <v>42</v>
      </c>
      <c r="B358" s="2" t="s">
        <v>1637</v>
      </c>
      <c r="C358" s="2" t="s">
        <v>315</v>
      </c>
      <c r="D358" s="2" t="s">
        <v>57</v>
      </c>
      <c r="E358" s="2" t="s">
        <v>1512</v>
      </c>
      <c r="F358" s="2" t="s">
        <v>49</v>
      </c>
      <c r="G358" s="2">
        <f>91-512-2690000</f>
        <v>-2690421</v>
      </c>
      <c r="H358" s="2"/>
      <c r="I358" s="3" t="s">
        <v>1638</v>
      </c>
      <c r="J358" s="2" t="s">
        <v>1512</v>
      </c>
      <c r="K358" s="2"/>
      <c r="L358" s="2" t="s">
        <v>1639</v>
      </c>
      <c r="M358" s="2"/>
      <c r="N358" s="2"/>
      <c r="O358" s="2"/>
      <c r="P358" s="2" t="s">
        <v>31</v>
      </c>
      <c r="Q358" s="4">
        <v>45971</v>
      </c>
      <c r="R358" s="2"/>
      <c r="S358" s="2">
        <v>1</v>
      </c>
      <c r="T358" s="2" t="s">
        <v>1600</v>
      </c>
      <c r="U358" s="2" t="s">
        <v>34</v>
      </c>
    </row>
    <row r="359" spans="1:21" ht="105" x14ac:dyDescent="0.25">
      <c r="A359" s="2">
        <v>42</v>
      </c>
      <c r="B359" s="2" t="s">
        <v>1640</v>
      </c>
      <c r="C359" s="2" t="s">
        <v>426</v>
      </c>
      <c r="D359" s="2" t="s">
        <v>57</v>
      </c>
      <c r="E359" s="2" t="s">
        <v>1547</v>
      </c>
      <c r="F359" s="2" t="s">
        <v>655</v>
      </c>
      <c r="G359" s="2"/>
      <c r="H359" s="2"/>
      <c r="I359" s="2"/>
      <c r="J359" s="2" t="s">
        <v>1585</v>
      </c>
      <c r="K359" s="2"/>
      <c r="L359" s="2" t="s">
        <v>1641</v>
      </c>
      <c r="M359" s="2"/>
      <c r="N359" s="2"/>
      <c r="O359" s="2"/>
      <c r="P359" s="2" t="s">
        <v>31</v>
      </c>
      <c r="Q359" s="4">
        <v>45981</v>
      </c>
      <c r="R359" s="2" t="s">
        <v>1642</v>
      </c>
      <c r="S359" s="2">
        <v>1</v>
      </c>
      <c r="T359" s="2" t="s">
        <v>1600</v>
      </c>
      <c r="U359" s="2" t="s">
        <v>34</v>
      </c>
    </row>
    <row r="360" spans="1:21" ht="75" x14ac:dyDescent="0.25">
      <c r="A360" s="2">
        <v>42</v>
      </c>
      <c r="B360" s="2" t="s">
        <v>1643</v>
      </c>
      <c r="C360" s="2" t="s">
        <v>426</v>
      </c>
      <c r="D360" s="2" t="s">
        <v>147</v>
      </c>
      <c r="E360" s="2" t="s">
        <v>148</v>
      </c>
      <c r="F360" s="2" t="s">
        <v>655</v>
      </c>
      <c r="G360" s="2"/>
      <c r="H360" s="2"/>
      <c r="I360" s="2"/>
      <c r="J360" s="2" t="s">
        <v>1644</v>
      </c>
      <c r="K360" s="2"/>
      <c r="L360" s="2" t="s">
        <v>1636</v>
      </c>
      <c r="M360" s="2"/>
      <c r="N360" s="2"/>
      <c r="O360" s="2"/>
      <c r="P360" s="2" t="s">
        <v>31</v>
      </c>
      <c r="Q360" s="4">
        <v>45981</v>
      </c>
      <c r="R360" s="2"/>
      <c r="S360" s="2">
        <v>1</v>
      </c>
      <c r="T360" s="2" t="s">
        <v>1600</v>
      </c>
      <c r="U360" s="2" t="s">
        <v>34</v>
      </c>
    </row>
    <row r="361" spans="1:21" ht="120" x14ac:dyDescent="0.25">
      <c r="A361" s="2">
        <v>42</v>
      </c>
      <c r="B361" s="2" t="s">
        <v>1645</v>
      </c>
      <c r="C361" s="2" t="s">
        <v>119</v>
      </c>
      <c r="D361" s="2" t="s">
        <v>102</v>
      </c>
      <c r="E361" s="2" t="s">
        <v>158</v>
      </c>
      <c r="F361" s="2" t="s">
        <v>49</v>
      </c>
      <c r="G361" s="2">
        <f>91-44-24910897</f>
        <v>-24910850</v>
      </c>
      <c r="H361" s="3" t="s">
        <v>1593</v>
      </c>
      <c r="I361" s="3" t="s">
        <v>1594</v>
      </c>
      <c r="J361" s="2" t="s">
        <v>1595</v>
      </c>
      <c r="K361" s="2"/>
      <c r="L361" s="2" t="s">
        <v>1646</v>
      </c>
      <c r="M361" s="2"/>
      <c r="N361" s="2"/>
      <c r="O361" s="2"/>
      <c r="P361" s="2" t="s">
        <v>31</v>
      </c>
      <c r="Q361" s="4">
        <v>45981</v>
      </c>
      <c r="R361" s="2"/>
      <c r="S361" s="2">
        <v>1</v>
      </c>
      <c r="T361" s="2" t="s">
        <v>1600</v>
      </c>
      <c r="U361" s="2" t="s">
        <v>34</v>
      </c>
    </row>
    <row r="362" spans="1:21" ht="45" x14ac:dyDescent="0.2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G362" s="1" t="s">
        <v>6</v>
      </c>
      <c r="H362" s="1" t="s">
        <v>7</v>
      </c>
      <c r="I362" s="1" t="s">
        <v>8</v>
      </c>
      <c r="J362" s="1" t="s">
        <v>9</v>
      </c>
      <c r="K362" s="1" t="s">
        <v>10</v>
      </c>
      <c r="L362" s="1" t="s">
        <v>11</v>
      </c>
      <c r="M362" s="1" t="s">
        <v>12</v>
      </c>
      <c r="N362" s="1" t="s">
        <v>13</v>
      </c>
      <c r="O362" s="1" t="s">
        <v>14</v>
      </c>
      <c r="P362" s="1" t="s">
        <v>15</v>
      </c>
      <c r="Q362" s="1" t="s">
        <v>16</v>
      </c>
      <c r="R362" s="1" t="s">
        <v>17</v>
      </c>
      <c r="S362" s="1" t="s">
        <v>18</v>
      </c>
      <c r="T362" s="1" t="s">
        <v>19</v>
      </c>
      <c r="U362" s="1" t="s">
        <v>20</v>
      </c>
    </row>
    <row r="363" spans="1:21" ht="90" x14ac:dyDescent="0.25">
      <c r="A363" s="2">
        <v>43</v>
      </c>
      <c r="B363" s="2" t="s">
        <v>1647</v>
      </c>
      <c r="C363" s="2" t="s">
        <v>22</v>
      </c>
      <c r="D363" s="2" t="s">
        <v>102</v>
      </c>
      <c r="E363" s="2" t="s">
        <v>158</v>
      </c>
      <c r="F363" s="2" t="s">
        <v>897</v>
      </c>
      <c r="G363" s="2">
        <f>91-44-28594367</f>
        <v>-28594320</v>
      </c>
      <c r="H363" s="3" t="s">
        <v>1532</v>
      </c>
      <c r="I363" s="3" t="s">
        <v>1533</v>
      </c>
      <c r="J363" s="2" t="s">
        <v>158</v>
      </c>
      <c r="K363" s="2"/>
      <c r="L363" s="2"/>
      <c r="M363" s="2" t="s">
        <v>1648</v>
      </c>
      <c r="N363" s="2"/>
      <c r="O363" s="2"/>
      <c r="P363" s="2" t="s">
        <v>31</v>
      </c>
      <c r="Q363" s="4">
        <v>45981</v>
      </c>
      <c r="R363" s="2" t="s">
        <v>1649</v>
      </c>
      <c r="S363" s="2">
        <v>1</v>
      </c>
      <c r="T363" s="2" t="s">
        <v>1650</v>
      </c>
      <c r="U363" s="2" t="s">
        <v>34</v>
      </c>
    </row>
    <row r="364" spans="1:21" ht="120" x14ac:dyDescent="0.25">
      <c r="A364" s="2">
        <v>43</v>
      </c>
      <c r="B364" s="2" t="s">
        <v>1019</v>
      </c>
      <c r="C364" s="2" t="s">
        <v>22</v>
      </c>
      <c r="D364" s="2" t="s">
        <v>23</v>
      </c>
      <c r="E364" s="2" t="s">
        <v>24</v>
      </c>
      <c r="F364" s="2" t="s">
        <v>897</v>
      </c>
      <c r="G364" s="2">
        <f>91-11-26135256</f>
        <v>-26135176</v>
      </c>
      <c r="H364" s="3" t="s">
        <v>1020</v>
      </c>
      <c r="I364" s="3" t="s">
        <v>1021</v>
      </c>
      <c r="J364" s="2" t="s">
        <v>1022</v>
      </c>
      <c r="K364" s="2"/>
      <c r="L364" s="2"/>
      <c r="M364" s="2" t="s">
        <v>1651</v>
      </c>
      <c r="N364" s="2"/>
      <c r="O364" s="2"/>
      <c r="P364" s="2" t="s">
        <v>31</v>
      </c>
      <c r="Q364" s="4">
        <v>45981</v>
      </c>
      <c r="R364" s="2" t="s">
        <v>1652</v>
      </c>
      <c r="S364" s="2">
        <v>1</v>
      </c>
      <c r="T364" s="2" t="s">
        <v>1650</v>
      </c>
      <c r="U364" s="2" t="s">
        <v>34</v>
      </c>
    </row>
    <row r="365" spans="1:21" ht="90" x14ac:dyDescent="0.25">
      <c r="A365" s="2">
        <v>43</v>
      </c>
      <c r="B365" s="2" t="s">
        <v>1653</v>
      </c>
      <c r="C365" s="2" t="s">
        <v>56</v>
      </c>
      <c r="D365" s="2" t="s">
        <v>57</v>
      </c>
      <c r="E365" s="2" t="s">
        <v>1512</v>
      </c>
      <c r="F365" s="2" t="s">
        <v>59</v>
      </c>
      <c r="G365" s="2">
        <f>91-512-2400000</f>
        <v>-2400421</v>
      </c>
      <c r="H365" s="3" t="s">
        <v>1654</v>
      </c>
      <c r="I365" s="2"/>
      <c r="J365" s="2" t="s">
        <v>1512</v>
      </c>
      <c r="K365" s="2"/>
      <c r="L365" s="2" t="s">
        <v>1655</v>
      </c>
      <c r="M365" s="2"/>
      <c r="N365" s="2"/>
      <c r="O365" s="2"/>
      <c r="P365" s="2" t="s">
        <v>31</v>
      </c>
      <c r="Q365" s="4">
        <v>45971</v>
      </c>
      <c r="R365" s="2" t="s">
        <v>1656</v>
      </c>
      <c r="S365" s="2">
        <v>1</v>
      </c>
      <c r="T365" s="2" t="s">
        <v>1650</v>
      </c>
      <c r="U365" s="2" t="s">
        <v>34</v>
      </c>
    </row>
    <row r="366" spans="1:21" ht="90" x14ac:dyDescent="0.25">
      <c r="A366" s="2">
        <v>43</v>
      </c>
      <c r="B366" s="2" t="s">
        <v>1657</v>
      </c>
      <c r="C366" s="2" t="s">
        <v>426</v>
      </c>
      <c r="D366" s="2" t="s">
        <v>57</v>
      </c>
      <c r="E366" s="2" t="s">
        <v>1512</v>
      </c>
      <c r="F366" s="2" t="s">
        <v>655</v>
      </c>
      <c r="G366" s="2"/>
      <c r="H366" s="2"/>
      <c r="I366" s="2"/>
      <c r="J366" s="2" t="s">
        <v>1512</v>
      </c>
      <c r="K366" s="2"/>
      <c r="L366" s="2" t="s">
        <v>1658</v>
      </c>
      <c r="M366" s="2"/>
      <c r="N366" s="2"/>
      <c r="O366" s="2"/>
      <c r="P366" s="2" t="s">
        <v>31</v>
      </c>
      <c r="Q366" s="4">
        <v>45981</v>
      </c>
      <c r="R366" s="2"/>
      <c r="S366" s="2">
        <v>1</v>
      </c>
      <c r="T366" s="2" t="s">
        <v>1650</v>
      </c>
      <c r="U366" s="2" t="s">
        <v>34</v>
      </c>
    </row>
    <row r="367" spans="1:21" ht="105" x14ac:dyDescent="0.25">
      <c r="A367" s="2">
        <v>43</v>
      </c>
      <c r="B367" s="2" t="s">
        <v>1659</v>
      </c>
      <c r="C367" s="2" t="s">
        <v>22</v>
      </c>
      <c r="D367" s="2" t="s">
        <v>23</v>
      </c>
      <c r="E367" s="2" t="s">
        <v>24</v>
      </c>
      <c r="F367" s="2" t="s">
        <v>541</v>
      </c>
      <c r="G367" s="2">
        <f>91-11-26135256</f>
        <v>-26135176</v>
      </c>
      <c r="H367" s="2"/>
      <c r="I367" s="3" t="s">
        <v>1021</v>
      </c>
      <c r="J367" s="2" t="s">
        <v>24</v>
      </c>
      <c r="K367" s="2"/>
      <c r="L367" s="2" t="s">
        <v>1660</v>
      </c>
      <c r="M367" s="2"/>
      <c r="N367" s="2"/>
      <c r="O367" s="2"/>
      <c r="P367" s="2" t="s">
        <v>31</v>
      </c>
      <c r="Q367" s="4">
        <v>45981</v>
      </c>
      <c r="R367" s="2" t="s">
        <v>1661</v>
      </c>
      <c r="S367" s="2">
        <v>1</v>
      </c>
      <c r="T367" s="2" t="s">
        <v>1650</v>
      </c>
      <c r="U367" s="2" t="s">
        <v>34</v>
      </c>
    </row>
    <row r="368" spans="1:21" ht="75" x14ac:dyDescent="0.25">
      <c r="A368" s="2">
        <v>43</v>
      </c>
      <c r="B368" s="2" t="s">
        <v>1662</v>
      </c>
      <c r="C368" s="2" t="s">
        <v>315</v>
      </c>
      <c r="D368" s="2" t="s">
        <v>102</v>
      </c>
      <c r="E368" s="2" t="s">
        <v>158</v>
      </c>
      <c r="F368" s="2" t="s">
        <v>1124</v>
      </c>
      <c r="G368" s="2">
        <f>91-44-43444000</f>
        <v>-43443953</v>
      </c>
      <c r="H368" s="2"/>
      <c r="I368" s="3" t="s">
        <v>1663</v>
      </c>
      <c r="J368" s="2" t="s">
        <v>1664</v>
      </c>
      <c r="K368" s="2"/>
      <c r="L368" s="2" t="s">
        <v>1665</v>
      </c>
      <c r="M368" s="2"/>
      <c r="N368" s="2"/>
      <c r="O368" s="2"/>
      <c r="P368" s="2" t="s">
        <v>31</v>
      </c>
      <c r="Q368" s="4">
        <v>45971</v>
      </c>
      <c r="R368" s="2"/>
      <c r="S368" s="2">
        <v>1</v>
      </c>
      <c r="T368" s="2" t="s">
        <v>1650</v>
      </c>
      <c r="U368" s="2" t="s">
        <v>34</v>
      </c>
    </row>
    <row r="369" spans="1:21" ht="120" x14ac:dyDescent="0.25">
      <c r="A369" s="2">
        <v>43</v>
      </c>
      <c r="B369" s="2" t="s">
        <v>1666</v>
      </c>
      <c r="C369" s="2" t="s">
        <v>119</v>
      </c>
      <c r="D369" s="2" t="s">
        <v>102</v>
      </c>
      <c r="E369" s="2" t="s">
        <v>158</v>
      </c>
      <c r="F369" s="2" t="s">
        <v>49</v>
      </c>
      <c r="G369" s="2">
        <f>91-44-24910897</f>
        <v>-24910850</v>
      </c>
      <c r="H369" s="3" t="s">
        <v>1593</v>
      </c>
      <c r="I369" s="3" t="s">
        <v>1594</v>
      </c>
      <c r="J369" s="2" t="s">
        <v>1595</v>
      </c>
      <c r="K369" s="2"/>
      <c r="L369" s="2" t="s">
        <v>1667</v>
      </c>
      <c r="M369" s="2"/>
      <c r="N369" s="2"/>
      <c r="O369" s="2"/>
      <c r="P369" s="2" t="s">
        <v>31</v>
      </c>
      <c r="Q369" s="4">
        <v>45981</v>
      </c>
      <c r="R369" s="2"/>
      <c r="S369" s="2">
        <v>1</v>
      </c>
      <c r="T369" s="2" t="s">
        <v>1650</v>
      </c>
      <c r="U369" s="2" t="s">
        <v>34</v>
      </c>
    </row>
    <row r="370" spans="1:21" ht="45" x14ac:dyDescent="0.25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5</v>
      </c>
      <c r="G370" s="1" t="s">
        <v>6</v>
      </c>
      <c r="H370" s="1" t="s">
        <v>7</v>
      </c>
      <c r="I370" s="1" t="s">
        <v>8</v>
      </c>
      <c r="J370" s="1" t="s">
        <v>9</v>
      </c>
      <c r="K370" s="1" t="s">
        <v>10</v>
      </c>
      <c r="L370" s="1" t="s">
        <v>11</v>
      </c>
      <c r="M370" s="1" t="s">
        <v>12</v>
      </c>
      <c r="N370" s="1" t="s">
        <v>13</v>
      </c>
      <c r="O370" s="1" t="s">
        <v>14</v>
      </c>
      <c r="P370" s="1" t="s">
        <v>15</v>
      </c>
      <c r="Q370" s="1" t="s">
        <v>16</v>
      </c>
      <c r="R370" s="1" t="s">
        <v>17</v>
      </c>
      <c r="S370" s="1" t="s">
        <v>18</v>
      </c>
      <c r="T370" s="1" t="s">
        <v>19</v>
      </c>
      <c r="U370" s="1" t="s">
        <v>20</v>
      </c>
    </row>
    <row r="371" spans="1:21" ht="195" x14ac:dyDescent="0.25">
      <c r="A371" s="2">
        <v>44</v>
      </c>
      <c r="B371" s="2" t="s">
        <v>1668</v>
      </c>
      <c r="C371" s="2" t="s">
        <v>22</v>
      </c>
      <c r="D371" s="2" t="s">
        <v>23</v>
      </c>
      <c r="E371" s="2" t="s">
        <v>24</v>
      </c>
      <c r="F371" s="2" t="s">
        <v>25</v>
      </c>
      <c r="G371" s="2">
        <f>91-11-23351410</f>
        <v>-23351330</v>
      </c>
      <c r="H371" s="3" t="s">
        <v>1669</v>
      </c>
      <c r="I371" s="3" t="s">
        <v>1670</v>
      </c>
      <c r="J371" s="2" t="s">
        <v>24</v>
      </c>
      <c r="K371" s="2"/>
      <c r="L371" s="2"/>
      <c r="M371" s="2" t="s">
        <v>1671</v>
      </c>
      <c r="N371" s="2"/>
      <c r="O371" s="2"/>
      <c r="P371" s="2" t="s">
        <v>31</v>
      </c>
      <c r="Q371" s="4">
        <v>45981</v>
      </c>
      <c r="R371" s="2" t="s">
        <v>1672</v>
      </c>
      <c r="S371" s="2">
        <v>1</v>
      </c>
      <c r="T371" s="2" t="s">
        <v>1673</v>
      </c>
      <c r="U371" s="2" t="s">
        <v>34</v>
      </c>
    </row>
    <row r="372" spans="1:21" ht="120" x14ac:dyDescent="0.25">
      <c r="A372" s="2">
        <v>44</v>
      </c>
      <c r="B372" s="2" t="s">
        <v>1019</v>
      </c>
      <c r="C372" s="2" t="s">
        <v>22</v>
      </c>
      <c r="D372" s="2" t="s">
        <v>23</v>
      </c>
      <c r="E372" s="2" t="s">
        <v>24</v>
      </c>
      <c r="F372" s="2" t="s">
        <v>897</v>
      </c>
      <c r="G372" s="2">
        <f>91-11-26135256</f>
        <v>-26135176</v>
      </c>
      <c r="H372" s="3" t="s">
        <v>1020</v>
      </c>
      <c r="I372" s="3" t="s">
        <v>1021</v>
      </c>
      <c r="J372" s="2" t="s">
        <v>1022</v>
      </c>
      <c r="K372" s="2"/>
      <c r="L372" s="2"/>
      <c r="M372" s="2" t="s">
        <v>1674</v>
      </c>
      <c r="N372" s="2"/>
      <c r="O372" s="2"/>
      <c r="P372" s="2" t="s">
        <v>31</v>
      </c>
      <c r="Q372" s="4">
        <v>45981</v>
      </c>
      <c r="R372" s="2" t="s">
        <v>1675</v>
      </c>
      <c r="S372" s="2">
        <v>1</v>
      </c>
      <c r="T372" s="2" t="s">
        <v>1673</v>
      </c>
      <c r="U372" s="2" t="s">
        <v>34</v>
      </c>
    </row>
    <row r="373" spans="1:21" ht="90" x14ac:dyDescent="0.25">
      <c r="A373" s="2">
        <v>44</v>
      </c>
      <c r="B373" s="2" t="s">
        <v>1676</v>
      </c>
      <c r="C373" s="2" t="s">
        <v>56</v>
      </c>
      <c r="D373" s="2" t="s">
        <v>147</v>
      </c>
      <c r="E373" s="2" t="s">
        <v>148</v>
      </c>
      <c r="F373" s="2" t="s">
        <v>59</v>
      </c>
      <c r="G373" s="2">
        <f>91-33-39403950</f>
        <v>-39403892</v>
      </c>
      <c r="H373" s="3" t="s">
        <v>1677</v>
      </c>
      <c r="I373" s="3" t="s">
        <v>1678</v>
      </c>
      <c r="J373" s="2" t="s">
        <v>1679</v>
      </c>
      <c r="K373" s="2"/>
      <c r="L373" s="2" t="s">
        <v>1680</v>
      </c>
      <c r="M373" s="2"/>
      <c r="N373" s="2"/>
      <c r="O373" s="2"/>
      <c r="P373" s="2" t="s">
        <v>31</v>
      </c>
      <c r="Q373" s="4">
        <v>45971</v>
      </c>
      <c r="R373" s="2"/>
      <c r="S373" s="2">
        <v>1</v>
      </c>
      <c r="T373" s="2" t="s">
        <v>1673</v>
      </c>
      <c r="U373" s="2" t="s">
        <v>34</v>
      </c>
    </row>
    <row r="374" spans="1:21" ht="75" x14ac:dyDescent="0.25">
      <c r="A374" s="2">
        <v>44</v>
      </c>
      <c r="B374" s="2" t="s">
        <v>1681</v>
      </c>
      <c r="C374" s="2" t="s">
        <v>56</v>
      </c>
      <c r="D374" s="2" t="s">
        <v>397</v>
      </c>
      <c r="E374" s="2" t="s">
        <v>1682</v>
      </c>
      <c r="F374" s="2" t="s">
        <v>59</v>
      </c>
      <c r="G374" s="2">
        <f>91-3842-280000</f>
        <v>-283751</v>
      </c>
      <c r="H374" s="3" t="s">
        <v>1683</v>
      </c>
      <c r="I374" s="3" t="s">
        <v>1684</v>
      </c>
      <c r="J374" s="2" t="s">
        <v>1685</v>
      </c>
      <c r="K374" s="2"/>
      <c r="L374" s="2" t="s">
        <v>1686</v>
      </c>
      <c r="M374" s="2"/>
      <c r="N374" s="2"/>
      <c r="O374" s="2"/>
      <c r="P374" s="2" t="s">
        <v>31</v>
      </c>
      <c r="Q374" s="4">
        <v>45971</v>
      </c>
      <c r="R374" s="2"/>
      <c r="S374" s="2">
        <v>1</v>
      </c>
      <c r="T374" s="2" t="s">
        <v>1673</v>
      </c>
      <c r="U374" s="2" t="s">
        <v>34</v>
      </c>
    </row>
    <row r="375" spans="1:21" ht="105" x14ac:dyDescent="0.25">
      <c r="A375" s="2">
        <v>44</v>
      </c>
      <c r="B375" s="2" t="s">
        <v>1687</v>
      </c>
      <c r="C375" s="2" t="s">
        <v>56</v>
      </c>
      <c r="D375" s="2" t="s">
        <v>397</v>
      </c>
      <c r="E375" s="2" t="s">
        <v>1688</v>
      </c>
      <c r="F375" s="2" t="s">
        <v>1124</v>
      </c>
      <c r="G375" s="2"/>
      <c r="H375" s="2"/>
      <c r="I375" s="2"/>
      <c r="J375" s="2" t="s">
        <v>1689</v>
      </c>
      <c r="K375" s="2"/>
      <c r="L375" s="2" t="s">
        <v>1690</v>
      </c>
      <c r="M375" s="2"/>
      <c r="N375" s="2"/>
      <c r="O375" s="2"/>
      <c r="P375" s="2" t="s">
        <v>31</v>
      </c>
      <c r="Q375" s="4">
        <v>45971</v>
      </c>
      <c r="R375" s="2"/>
      <c r="S375" s="2">
        <v>1</v>
      </c>
      <c r="T375" s="2" t="s">
        <v>1673</v>
      </c>
      <c r="U375" s="2" t="s">
        <v>34</v>
      </c>
    </row>
    <row r="376" spans="1:21" ht="75" x14ac:dyDescent="0.25">
      <c r="A376" s="2">
        <v>44</v>
      </c>
      <c r="B376" s="2" t="s">
        <v>1691</v>
      </c>
      <c r="C376" s="2" t="s">
        <v>56</v>
      </c>
      <c r="D376" s="2" t="s">
        <v>298</v>
      </c>
      <c r="E376" s="2" t="s">
        <v>1692</v>
      </c>
      <c r="F376" s="2" t="s">
        <v>59</v>
      </c>
      <c r="G376" s="2">
        <f>91-8154-242400</f>
        <v>-250463</v>
      </c>
      <c r="H376" s="3" t="s">
        <v>1693</v>
      </c>
      <c r="I376" s="3" t="s">
        <v>1694</v>
      </c>
      <c r="J376" s="2" t="s">
        <v>1695</v>
      </c>
      <c r="K376" s="2"/>
      <c r="L376" s="2" t="s">
        <v>1696</v>
      </c>
      <c r="M376" s="2"/>
      <c r="N376" s="2"/>
      <c r="O376" s="2"/>
      <c r="P376" s="2" t="s">
        <v>31</v>
      </c>
      <c r="Q376" s="4">
        <v>45971</v>
      </c>
      <c r="R376" s="2"/>
      <c r="S376" s="2">
        <v>1</v>
      </c>
      <c r="T376" s="2" t="s">
        <v>1673</v>
      </c>
      <c r="U376" s="2" t="s">
        <v>34</v>
      </c>
    </row>
    <row r="377" spans="1:21" ht="60" x14ac:dyDescent="0.25">
      <c r="A377" s="2">
        <v>44</v>
      </c>
      <c r="B377" s="2" t="s">
        <v>1697</v>
      </c>
      <c r="C377" s="2" t="s">
        <v>56</v>
      </c>
      <c r="D377" s="2" t="s">
        <v>147</v>
      </c>
      <c r="E377" s="2" t="s">
        <v>148</v>
      </c>
      <c r="F377" s="2" t="s">
        <v>59</v>
      </c>
      <c r="G377" s="2">
        <f>91-33-22481223</f>
        <v>-22481165</v>
      </c>
      <c r="H377" s="3" t="s">
        <v>1698</v>
      </c>
      <c r="I377" s="3" t="s">
        <v>1699</v>
      </c>
      <c r="J377" s="2" t="s">
        <v>1700</v>
      </c>
      <c r="K377" s="2"/>
      <c r="L377" s="2" t="s">
        <v>1701</v>
      </c>
      <c r="M377" s="2"/>
      <c r="N377" s="2"/>
      <c r="O377" s="2"/>
      <c r="P377" s="2" t="s">
        <v>31</v>
      </c>
      <c r="Q377" s="4">
        <v>45971</v>
      </c>
      <c r="R377" s="2"/>
      <c r="S377" s="2">
        <v>1</v>
      </c>
      <c r="T377" s="2" t="s">
        <v>1673</v>
      </c>
      <c r="U377" s="2" t="s">
        <v>34</v>
      </c>
    </row>
    <row r="378" spans="1:21" ht="105" x14ac:dyDescent="0.25">
      <c r="A378" s="2">
        <v>44</v>
      </c>
      <c r="B378" s="2" t="s">
        <v>1702</v>
      </c>
      <c r="C378" s="2" t="s">
        <v>56</v>
      </c>
      <c r="D378" s="2" t="s">
        <v>153</v>
      </c>
      <c r="E378" s="2" t="s">
        <v>1703</v>
      </c>
      <c r="F378" s="2" t="s">
        <v>59</v>
      </c>
      <c r="G378" s="2">
        <f>91-79-61400400</f>
        <v>-61400388</v>
      </c>
      <c r="H378" s="3" t="s">
        <v>1704</v>
      </c>
      <c r="I378" s="3" t="s">
        <v>1705</v>
      </c>
      <c r="J378" s="2" t="s">
        <v>1706</v>
      </c>
      <c r="K378" s="2"/>
      <c r="L378" s="2"/>
      <c r="M378" s="2"/>
      <c r="N378" s="2"/>
      <c r="O378" s="2"/>
      <c r="P378" s="2" t="s">
        <v>31</v>
      </c>
      <c r="Q378" s="4">
        <v>45971</v>
      </c>
      <c r="R378" s="2"/>
      <c r="S378" s="2">
        <v>1</v>
      </c>
      <c r="T378" s="2" t="s">
        <v>1673</v>
      </c>
      <c r="U378" s="2" t="s">
        <v>34</v>
      </c>
    </row>
    <row r="379" spans="1:21" ht="75" x14ac:dyDescent="0.25">
      <c r="A379" s="2">
        <v>44</v>
      </c>
      <c r="B379" s="2" t="s">
        <v>1707</v>
      </c>
      <c r="C379" s="2" t="s">
        <v>56</v>
      </c>
      <c r="D379" s="2" t="s">
        <v>141</v>
      </c>
      <c r="E379" s="2" t="s">
        <v>1708</v>
      </c>
      <c r="F379" s="2" t="s">
        <v>1124</v>
      </c>
      <c r="G379" s="2">
        <f>91-6858-222000</f>
        <v>-228767</v>
      </c>
      <c r="H379" s="2"/>
      <c r="I379" s="3" t="s">
        <v>1709</v>
      </c>
      <c r="J379" s="2" t="s">
        <v>1710</v>
      </c>
      <c r="K379" s="2"/>
      <c r="L379" s="2" t="s">
        <v>1711</v>
      </c>
      <c r="M379" s="2"/>
      <c r="N379" s="2"/>
      <c r="O379" s="2"/>
      <c r="P379" s="2" t="s">
        <v>31</v>
      </c>
      <c r="Q379" s="4">
        <v>45971</v>
      </c>
      <c r="R379" s="2"/>
      <c r="S379" s="2">
        <v>1</v>
      </c>
      <c r="T379" s="2" t="s">
        <v>1673</v>
      </c>
      <c r="U379" s="2" t="s">
        <v>34</v>
      </c>
    </row>
    <row r="380" spans="1:21" ht="90" x14ac:dyDescent="0.25">
      <c r="A380" s="2">
        <v>44</v>
      </c>
      <c r="B380" s="2" t="s">
        <v>1712</v>
      </c>
      <c r="C380" s="2" t="s">
        <v>426</v>
      </c>
      <c r="D380" s="2" t="s">
        <v>397</v>
      </c>
      <c r="E380" s="2" t="s">
        <v>1061</v>
      </c>
      <c r="F380" s="2" t="s">
        <v>655</v>
      </c>
      <c r="G380" s="2"/>
      <c r="H380" s="2"/>
      <c r="I380" s="2"/>
      <c r="J380" s="2" t="s">
        <v>1713</v>
      </c>
      <c r="K380" s="2"/>
      <c r="L380" s="2" t="s">
        <v>1714</v>
      </c>
      <c r="M380" s="2"/>
      <c r="N380" s="2"/>
      <c r="O380" s="2"/>
      <c r="P380" s="2" t="s">
        <v>31</v>
      </c>
      <c r="Q380" s="4">
        <v>45981</v>
      </c>
      <c r="R380" s="2"/>
      <c r="S380" s="2">
        <v>1</v>
      </c>
      <c r="T380" s="2" t="s">
        <v>1673</v>
      </c>
      <c r="U380" s="2" t="s">
        <v>34</v>
      </c>
    </row>
    <row r="381" spans="1:21" ht="60" x14ac:dyDescent="0.25">
      <c r="A381" s="2">
        <v>44</v>
      </c>
      <c r="B381" s="2" t="s">
        <v>1715</v>
      </c>
      <c r="C381" s="2" t="s">
        <v>426</v>
      </c>
      <c r="D381" s="2" t="s">
        <v>321</v>
      </c>
      <c r="E381" s="2" t="s">
        <v>1716</v>
      </c>
      <c r="F381" s="2" t="s">
        <v>655</v>
      </c>
      <c r="G381" s="2"/>
      <c r="H381" s="2"/>
      <c r="I381" s="2"/>
      <c r="J381" s="2" t="s">
        <v>1716</v>
      </c>
      <c r="K381" s="2"/>
      <c r="L381" s="2" t="s">
        <v>1717</v>
      </c>
      <c r="M381" s="2"/>
      <c r="N381" s="2"/>
      <c r="O381" s="2"/>
      <c r="P381" s="2" t="s">
        <v>31</v>
      </c>
      <c r="Q381" s="4">
        <v>45981</v>
      </c>
      <c r="R381" s="2"/>
      <c r="S381" s="2">
        <v>1</v>
      </c>
      <c r="T381" s="2" t="s">
        <v>1673</v>
      </c>
      <c r="U381" s="2" t="s">
        <v>34</v>
      </c>
    </row>
    <row r="382" spans="1:21" ht="135" x14ac:dyDescent="0.25">
      <c r="A382" s="2">
        <v>44</v>
      </c>
      <c r="B382" s="2" t="s">
        <v>1718</v>
      </c>
      <c r="C382" s="2" t="s">
        <v>119</v>
      </c>
      <c r="D382" s="2" t="s">
        <v>298</v>
      </c>
      <c r="E382" s="2" t="s">
        <v>299</v>
      </c>
      <c r="F382" s="2" t="s">
        <v>49</v>
      </c>
      <c r="G382" s="2">
        <f>91-80-22190100</f>
        <v>-22190089</v>
      </c>
      <c r="H382" s="3" t="s">
        <v>1719</v>
      </c>
      <c r="I382" s="3" t="s">
        <v>1720</v>
      </c>
      <c r="J382" s="2" t="s">
        <v>1721</v>
      </c>
      <c r="K382" s="2"/>
      <c r="L382" s="2" t="s">
        <v>1722</v>
      </c>
      <c r="M382" s="2"/>
      <c r="N382" s="2"/>
      <c r="O382" s="2"/>
      <c r="P382" s="2" t="s">
        <v>31</v>
      </c>
      <c r="Q382" s="4">
        <v>45981</v>
      </c>
      <c r="R382" s="2"/>
      <c r="S382" s="2">
        <v>1</v>
      </c>
      <c r="T382" s="2" t="s">
        <v>1673</v>
      </c>
      <c r="U382" s="2" t="s">
        <v>34</v>
      </c>
    </row>
    <row r="383" spans="1:21" ht="45" x14ac:dyDescent="0.25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1" t="s">
        <v>5</v>
      </c>
      <c r="G383" s="1" t="s">
        <v>6</v>
      </c>
      <c r="H383" s="1" t="s">
        <v>7</v>
      </c>
      <c r="I383" s="1" t="s">
        <v>8</v>
      </c>
      <c r="J383" s="1" t="s">
        <v>9</v>
      </c>
      <c r="K383" s="1" t="s">
        <v>10</v>
      </c>
      <c r="L383" s="1" t="s">
        <v>11</v>
      </c>
      <c r="M383" s="1" t="s">
        <v>12</v>
      </c>
      <c r="N383" s="1" t="s">
        <v>13</v>
      </c>
      <c r="O383" s="1" t="s">
        <v>14</v>
      </c>
      <c r="P383" s="1" t="s">
        <v>15</v>
      </c>
      <c r="Q383" s="1" t="s">
        <v>16</v>
      </c>
      <c r="R383" s="1" t="s">
        <v>17</v>
      </c>
      <c r="S383" s="1" t="s">
        <v>18</v>
      </c>
      <c r="T383" s="1" t="s">
        <v>19</v>
      </c>
      <c r="U383" s="1" t="s">
        <v>20</v>
      </c>
    </row>
    <row r="384" spans="1:21" ht="135" x14ac:dyDescent="0.25">
      <c r="A384" s="2">
        <v>45</v>
      </c>
      <c r="B384" s="2" t="s">
        <v>1723</v>
      </c>
      <c r="C384" s="2" t="s">
        <v>22</v>
      </c>
      <c r="D384" s="2" t="s">
        <v>147</v>
      </c>
      <c r="E384" s="2" t="s">
        <v>148</v>
      </c>
      <c r="F384" s="2" t="s">
        <v>1724</v>
      </c>
      <c r="G384" s="2">
        <f>91-33-22891724</f>
        <v>-22891666</v>
      </c>
      <c r="H384" s="3" t="s">
        <v>1725</v>
      </c>
      <c r="I384" s="3" t="s">
        <v>1670</v>
      </c>
      <c r="J384" s="2" t="s">
        <v>1726</v>
      </c>
      <c r="K384" s="2"/>
      <c r="L384" s="2"/>
      <c r="M384" s="2" t="s">
        <v>1727</v>
      </c>
      <c r="N384" s="2"/>
      <c r="O384" s="2"/>
      <c r="P384" s="2" t="s">
        <v>31</v>
      </c>
      <c r="Q384" s="4">
        <v>45982</v>
      </c>
      <c r="R384" s="2" t="s">
        <v>1728</v>
      </c>
      <c r="S384" s="2">
        <v>1</v>
      </c>
      <c r="T384" s="2" t="s">
        <v>1729</v>
      </c>
      <c r="U384" s="2" t="s">
        <v>34</v>
      </c>
    </row>
    <row r="385" spans="1:21" ht="105" x14ac:dyDescent="0.25">
      <c r="A385" s="2">
        <v>45</v>
      </c>
      <c r="B385" s="2" t="s">
        <v>1730</v>
      </c>
      <c r="C385" s="2" t="s">
        <v>56</v>
      </c>
      <c r="D385" s="2" t="s">
        <v>306</v>
      </c>
      <c r="E385" s="2" t="s">
        <v>307</v>
      </c>
      <c r="F385" s="2" t="s">
        <v>59</v>
      </c>
      <c r="G385" s="2">
        <f>91-832-2262000</f>
        <v>-2262741</v>
      </c>
      <c r="H385" s="3" t="s">
        <v>1731</v>
      </c>
      <c r="I385" s="2"/>
      <c r="J385" s="2" t="s">
        <v>1732</v>
      </c>
      <c r="K385" s="2"/>
      <c r="L385" s="2" t="s">
        <v>1733</v>
      </c>
      <c r="M385" s="2"/>
      <c r="N385" s="2"/>
      <c r="O385" s="2"/>
      <c r="P385" s="2" t="s">
        <v>31</v>
      </c>
      <c r="Q385" s="4">
        <v>45971</v>
      </c>
      <c r="R385" s="2" t="s">
        <v>1734</v>
      </c>
      <c r="S385" s="2">
        <v>1</v>
      </c>
      <c r="T385" s="2" t="s">
        <v>1729</v>
      </c>
      <c r="U385" s="2" t="s">
        <v>34</v>
      </c>
    </row>
    <row r="386" spans="1:21" ht="60" x14ac:dyDescent="0.25">
      <c r="A386" s="2">
        <v>45</v>
      </c>
      <c r="B386" s="2" t="s">
        <v>1735</v>
      </c>
      <c r="C386" s="2" t="s">
        <v>56</v>
      </c>
      <c r="D386" s="2" t="s">
        <v>126</v>
      </c>
      <c r="E386" s="2" t="s">
        <v>127</v>
      </c>
      <c r="F386" s="2" t="s">
        <v>49</v>
      </c>
      <c r="G386" s="2">
        <f>91-484-2807000</f>
        <v>-2807393</v>
      </c>
      <c r="H386" s="2"/>
      <c r="I386" s="2"/>
      <c r="J386" s="2" t="s">
        <v>688</v>
      </c>
      <c r="K386" s="2"/>
      <c r="L386" s="2" t="s">
        <v>1736</v>
      </c>
      <c r="M386" s="2"/>
      <c r="N386" s="2"/>
      <c r="O386" s="2"/>
      <c r="P386" s="2" t="s">
        <v>31</v>
      </c>
      <c r="Q386" s="4">
        <v>45971</v>
      </c>
      <c r="R386" s="2"/>
      <c r="S386" s="2">
        <v>1</v>
      </c>
      <c r="T386" s="2" t="s">
        <v>1729</v>
      </c>
      <c r="U386" s="2" t="s">
        <v>34</v>
      </c>
    </row>
    <row r="387" spans="1:21" ht="45" x14ac:dyDescent="0.25">
      <c r="A387" s="2">
        <v>45</v>
      </c>
      <c r="B387" s="2" t="s">
        <v>1737</v>
      </c>
      <c r="C387" s="2" t="s">
        <v>56</v>
      </c>
      <c r="D387" s="2" t="s">
        <v>306</v>
      </c>
      <c r="E387" s="2" t="s">
        <v>307</v>
      </c>
      <c r="F387" s="2" t="s">
        <v>59</v>
      </c>
      <c r="G387" s="2">
        <f>91-832-2257000</f>
        <v>-2257741</v>
      </c>
      <c r="H387" s="2"/>
      <c r="I387" s="2"/>
      <c r="J387" s="2" t="s">
        <v>1738</v>
      </c>
      <c r="K387" s="2"/>
      <c r="L387" s="2" t="s">
        <v>1739</v>
      </c>
      <c r="M387" s="2"/>
      <c r="N387" s="2"/>
      <c r="O387" s="2"/>
      <c r="P387" s="2" t="s">
        <v>31</v>
      </c>
      <c r="Q387" s="4">
        <v>45971</v>
      </c>
      <c r="R387" s="2"/>
      <c r="S387" s="2">
        <v>1</v>
      </c>
      <c r="T387" s="2" t="s">
        <v>1729</v>
      </c>
      <c r="U387" s="2" t="s">
        <v>34</v>
      </c>
    </row>
    <row r="388" spans="1:21" ht="60" x14ac:dyDescent="0.25">
      <c r="A388" s="2">
        <v>45</v>
      </c>
      <c r="B388" s="2" t="s">
        <v>1740</v>
      </c>
      <c r="C388" s="2" t="s">
        <v>56</v>
      </c>
      <c r="D388" s="2" t="s">
        <v>36</v>
      </c>
      <c r="E388" s="2" t="s">
        <v>526</v>
      </c>
      <c r="F388" s="2" t="s">
        <v>49</v>
      </c>
      <c r="G388" s="2">
        <f>91-22-26850000</f>
        <v>-26849931</v>
      </c>
      <c r="H388" s="2"/>
      <c r="I388" s="2"/>
      <c r="J388" s="2" t="s">
        <v>526</v>
      </c>
      <c r="K388" s="2"/>
      <c r="L388" s="2" t="s">
        <v>1741</v>
      </c>
      <c r="M388" s="2"/>
      <c r="N388" s="2"/>
      <c r="O388" s="2"/>
      <c r="P388" s="2" t="s">
        <v>31</v>
      </c>
      <c r="Q388" s="4">
        <v>45971</v>
      </c>
      <c r="R388" s="2"/>
      <c r="S388" s="2">
        <v>1</v>
      </c>
      <c r="T388" s="2" t="s">
        <v>1729</v>
      </c>
      <c r="U388" s="2" t="s">
        <v>34</v>
      </c>
    </row>
    <row r="389" spans="1:21" ht="90" x14ac:dyDescent="0.25">
      <c r="A389" s="2">
        <v>45</v>
      </c>
      <c r="B389" s="2" t="s">
        <v>1742</v>
      </c>
      <c r="C389" s="2" t="s">
        <v>22</v>
      </c>
      <c r="D389" s="2" t="s">
        <v>306</v>
      </c>
      <c r="E389" s="2" t="s">
        <v>307</v>
      </c>
      <c r="F389" s="2" t="s">
        <v>476</v>
      </c>
      <c r="G389" s="2"/>
      <c r="H389" s="2"/>
      <c r="I389" s="2"/>
      <c r="J389" s="2" t="s">
        <v>306</v>
      </c>
      <c r="K389" s="2"/>
      <c r="L389" s="2" t="s">
        <v>1743</v>
      </c>
      <c r="M389" s="2"/>
      <c r="N389" s="2"/>
      <c r="O389" s="2"/>
      <c r="P389" s="2" t="s">
        <v>31</v>
      </c>
      <c r="Q389" s="4">
        <v>45982</v>
      </c>
      <c r="R389" s="2"/>
      <c r="S389" s="2">
        <v>1</v>
      </c>
      <c r="T389" s="2" t="s">
        <v>1729</v>
      </c>
      <c r="U389" s="2" t="s">
        <v>34</v>
      </c>
    </row>
    <row r="390" spans="1:21" ht="45" x14ac:dyDescent="0.25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1" t="s">
        <v>5</v>
      </c>
      <c r="G390" s="1" t="s">
        <v>6</v>
      </c>
      <c r="H390" s="1" t="s">
        <v>7</v>
      </c>
      <c r="I390" s="1" t="s">
        <v>8</v>
      </c>
      <c r="J390" s="1" t="s">
        <v>9</v>
      </c>
      <c r="K390" s="1" t="s">
        <v>10</v>
      </c>
      <c r="L390" s="1" t="s">
        <v>11</v>
      </c>
      <c r="M390" s="1" t="s">
        <v>12</v>
      </c>
      <c r="N390" s="1" t="s">
        <v>13</v>
      </c>
      <c r="O390" s="1" t="s">
        <v>14</v>
      </c>
      <c r="P390" s="1" t="s">
        <v>15</v>
      </c>
      <c r="Q390" s="1" t="s">
        <v>16</v>
      </c>
      <c r="R390" s="1" t="s">
        <v>17</v>
      </c>
      <c r="S390" s="1" t="s">
        <v>18</v>
      </c>
      <c r="T390" s="1" t="s">
        <v>19</v>
      </c>
      <c r="U390" s="1" t="s">
        <v>20</v>
      </c>
    </row>
    <row r="391" spans="1:21" ht="150" x14ac:dyDescent="0.25">
      <c r="A391" s="2">
        <v>46</v>
      </c>
      <c r="B391" s="2" t="s">
        <v>1019</v>
      </c>
      <c r="C391" s="2" t="s">
        <v>22</v>
      </c>
      <c r="D391" s="2" t="s">
        <v>23</v>
      </c>
      <c r="E391" s="2" t="s">
        <v>24</v>
      </c>
      <c r="F391" s="2" t="s">
        <v>897</v>
      </c>
      <c r="G391" s="2">
        <f>91-11-26135256</f>
        <v>-26135176</v>
      </c>
      <c r="H391" s="3" t="s">
        <v>1020</v>
      </c>
      <c r="I391" s="3" t="s">
        <v>1021</v>
      </c>
      <c r="J391" s="2" t="s">
        <v>1744</v>
      </c>
      <c r="K391" s="2"/>
      <c r="L391" s="2"/>
      <c r="M391" s="2" t="s">
        <v>1745</v>
      </c>
      <c r="N391" s="2"/>
      <c r="O391" s="2"/>
      <c r="P391" s="2" t="s">
        <v>31</v>
      </c>
      <c r="Q391" s="4">
        <v>45982</v>
      </c>
      <c r="R391" s="2" t="s">
        <v>1746</v>
      </c>
      <c r="S391" s="2">
        <v>1</v>
      </c>
      <c r="T391" s="2" t="s">
        <v>1747</v>
      </c>
      <c r="U391" s="2" t="s">
        <v>34</v>
      </c>
    </row>
    <row r="392" spans="1:21" ht="120" x14ac:dyDescent="0.25">
      <c r="A392" s="2">
        <v>46</v>
      </c>
      <c r="B392" s="2" t="s">
        <v>1748</v>
      </c>
      <c r="C392" s="2" t="s">
        <v>1066</v>
      </c>
      <c r="D392" s="2" t="s">
        <v>397</v>
      </c>
      <c r="E392" s="2" t="s">
        <v>1749</v>
      </c>
      <c r="F392" s="2" t="s">
        <v>49</v>
      </c>
      <c r="G392" s="2">
        <f>91-361-2330741</f>
        <v>-2331011</v>
      </c>
      <c r="H392" s="3" t="s">
        <v>1032</v>
      </c>
      <c r="I392" s="3" t="s">
        <v>1033</v>
      </c>
      <c r="J392" s="2" t="s">
        <v>1750</v>
      </c>
      <c r="K392" s="2"/>
      <c r="L392" s="2"/>
      <c r="M392" s="2"/>
      <c r="N392" s="2"/>
      <c r="O392" s="2"/>
      <c r="P392" s="2" t="s">
        <v>31</v>
      </c>
      <c r="Q392" s="4">
        <v>45982</v>
      </c>
      <c r="R392" s="2" t="s">
        <v>1751</v>
      </c>
      <c r="S392" s="2">
        <v>1</v>
      </c>
      <c r="T392" s="2" t="s">
        <v>1747</v>
      </c>
      <c r="U392" s="2" t="s">
        <v>34</v>
      </c>
    </row>
    <row r="393" spans="1:21" ht="105" x14ac:dyDescent="0.25">
      <c r="A393" s="2">
        <v>46</v>
      </c>
      <c r="B393" s="2" t="s">
        <v>1752</v>
      </c>
      <c r="C393" s="2" t="s">
        <v>233</v>
      </c>
      <c r="D393" s="2" t="s">
        <v>1026</v>
      </c>
      <c r="E393" s="2" t="s">
        <v>1753</v>
      </c>
      <c r="F393" s="2" t="s">
        <v>49</v>
      </c>
      <c r="G393" s="2">
        <f>91-381-2355751</f>
        <v>-2356041</v>
      </c>
      <c r="H393" s="3" t="s">
        <v>1028</v>
      </c>
      <c r="I393" s="2"/>
      <c r="J393" s="2" t="s">
        <v>1027</v>
      </c>
      <c r="K393" s="2"/>
      <c r="L393" s="2"/>
      <c r="M393" s="2"/>
      <c r="N393" s="2"/>
      <c r="O393" s="2"/>
      <c r="P393" s="2" t="s">
        <v>31</v>
      </c>
      <c r="Q393" s="4">
        <v>45982</v>
      </c>
      <c r="R393" s="2" t="s">
        <v>1754</v>
      </c>
      <c r="S393" s="2">
        <v>1</v>
      </c>
      <c r="T393" s="2" t="s">
        <v>1747</v>
      </c>
      <c r="U393" s="2" t="s">
        <v>34</v>
      </c>
    </row>
    <row r="394" spans="1:21" ht="90" x14ac:dyDescent="0.25">
      <c r="A394" s="2">
        <v>46</v>
      </c>
      <c r="B394" s="2" t="s">
        <v>1755</v>
      </c>
      <c r="C394" s="2" t="s">
        <v>426</v>
      </c>
      <c r="D394" s="2" t="s">
        <v>1026</v>
      </c>
      <c r="E394" s="2" t="s">
        <v>1753</v>
      </c>
      <c r="F394" s="2" t="s">
        <v>655</v>
      </c>
      <c r="G394" s="2"/>
      <c r="H394" s="2"/>
      <c r="I394" s="2"/>
      <c r="J394" s="2" t="s">
        <v>1756</v>
      </c>
      <c r="K394" s="2"/>
      <c r="L394" s="2" t="s">
        <v>1757</v>
      </c>
      <c r="M394" s="2"/>
      <c r="N394" s="2"/>
      <c r="O394" s="2"/>
      <c r="P394" s="2" t="s">
        <v>31</v>
      </c>
      <c r="Q394" s="4">
        <v>45982</v>
      </c>
      <c r="R394" s="2"/>
      <c r="S394" s="2">
        <v>1</v>
      </c>
      <c r="T394" s="2" t="s">
        <v>1747</v>
      </c>
      <c r="U394" s="2" t="s">
        <v>34</v>
      </c>
    </row>
    <row r="395" spans="1:21" ht="135" x14ac:dyDescent="0.25">
      <c r="A395" s="2">
        <v>46</v>
      </c>
      <c r="B395" s="2" t="s">
        <v>1758</v>
      </c>
      <c r="C395" s="2" t="s">
        <v>233</v>
      </c>
      <c r="D395" s="2" t="s">
        <v>397</v>
      </c>
      <c r="E395" s="2" t="s">
        <v>1031</v>
      </c>
      <c r="F395" s="2" t="s">
        <v>49</v>
      </c>
      <c r="G395" s="2">
        <f>91-361-2464609</f>
        <v>-2464879</v>
      </c>
      <c r="H395" s="2"/>
      <c r="I395" s="2"/>
      <c r="J395" s="2" t="s">
        <v>1031</v>
      </c>
      <c r="K395" s="2"/>
      <c r="L395" s="2"/>
      <c r="M395" s="2"/>
      <c r="N395" s="2"/>
      <c r="O395" s="2"/>
      <c r="P395" s="2" t="s">
        <v>31</v>
      </c>
      <c r="Q395" s="4">
        <v>45982</v>
      </c>
      <c r="R395" s="2" t="s">
        <v>1759</v>
      </c>
      <c r="S395" s="2">
        <v>1</v>
      </c>
      <c r="T395" s="2" t="s">
        <v>1747</v>
      </c>
      <c r="U395" s="2" t="s">
        <v>34</v>
      </c>
    </row>
    <row r="396" spans="1:21" ht="75" x14ac:dyDescent="0.25">
      <c r="A396" s="2">
        <v>46</v>
      </c>
      <c r="B396" s="2" t="s">
        <v>1760</v>
      </c>
      <c r="C396" s="2" t="s">
        <v>56</v>
      </c>
      <c r="D396" s="2" t="s">
        <v>1026</v>
      </c>
      <c r="E396" s="2" t="s">
        <v>1753</v>
      </c>
      <c r="F396" s="2" t="s">
        <v>59</v>
      </c>
      <c r="G396" s="2">
        <f>91-381-2226000</f>
        <v>-2226290</v>
      </c>
      <c r="H396" s="3" t="s">
        <v>1761</v>
      </c>
      <c r="I396" s="3" t="s">
        <v>1762</v>
      </c>
      <c r="J396" s="2" t="s">
        <v>1027</v>
      </c>
      <c r="K396" s="2"/>
      <c r="L396" s="2" t="s">
        <v>1763</v>
      </c>
      <c r="M396" s="2"/>
      <c r="N396" s="2"/>
      <c r="O396" s="2"/>
      <c r="P396" s="2" t="s">
        <v>31</v>
      </c>
      <c r="Q396" s="4">
        <v>45971</v>
      </c>
      <c r="R396" s="2" t="s">
        <v>1764</v>
      </c>
      <c r="S396" s="2">
        <v>1</v>
      </c>
      <c r="T396" s="2" t="s">
        <v>1747</v>
      </c>
      <c r="U396" s="2" t="s">
        <v>34</v>
      </c>
    </row>
    <row r="397" spans="1:21" ht="60" x14ac:dyDescent="0.25">
      <c r="A397" s="2">
        <v>46</v>
      </c>
      <c r="B397" s="2" t="s">
        <v>1765</v>
      </c>
      <c r="C397" s="2" t="s">
        <v>56</v>
      </c>
      <c r="D397" s="2" t="s">
        <v>397</v>
      </c>
      <c r="E397" s="2" t="s">
        <v>398</v>
      </c>
      <c r="F397" s="2" t="s">
        <v>49</v>
      </c>
      <c r="G397" s="2">
        <f>91-9954030000</f>
        <v>-9954029909</v>
      </c>
      <c r="H397" s="3" t="s">
        <v>1766</v>
      </c>
      <c r="I397" s="2"/>
      <c r="J397" s="2" t="s">
        <v>1031</v>
      </c>
      <c r="K397" s="2"/>
      <c r="L397" s="2" t="s">
        <v>1767</v>
      </c>
      <c r="M397" s="2"/>
      <c r="N397" s="2"/>
      <c r="O397" s="2"/>
      <c r="P397" s="2" t="s">
        <v>31</v>
      </c>
      <c r="Q397" s="4">
        <v>45971</v>
      </c>
      <c r="R397" s="2"/>
      <c r="S397" s="2">
        <v>1</v>
      </c>
      <c r="T397" s="2" t="s">
        <v>1747</v>
      </c>
      <c r="U397" s="2" t="s">
        <v>34</v>
      </c>
    </row>
    <row r="398" spans="1:21" ht="75" x14ac:dyDescent="0.25">
      <c r="A398" s="2">
        <v>46</v>
      </c>
      <c r="B398" s="2" t="s">
        <v>1768</v>
      </c>
      <c r="C398" s="2" t="s">
        <v>426</v>
      </c>
      <c r="D398" s="2" t="s">
        <v>141</v>
      </c>
      <c r="E398" s="2" t="s">
        <v>1061</v>
      </c>
      <c r="F398" s="2" t="s">
        <v>655</v>
      </c>
      <c r="G398" s="2"/>
      <c r="H398" s="2"/>
      <c r="I398" s="2"/>
      <c r="J398" s="2" t="s">
        <v>1769</v>
      </c>
      <c r="K398" s="2"/>
      <c r="L398" s="2" t="s">
        <v>1770</v>
      </c>
      <c r="M398" s="2"/>
      <c r="N398" s="2"/>
      <c r="O398" s="2"/>
      <c r="P398" s="2" t="s">
        <v>31</v>
      </c>
      <c r="Q398" s="4">
        <v>45982</v>
      </c>
      <c r="R398" s="2"/>
      <c r="S398" s="2">
        <v>1</v>
      </c>
      <c r="T398" s="2" t="s">
        <v>1747</v>
      </c>
      <c r="U398" s="2" t="s">
        <v>34</v>
      </c>
    </row>
    <row r="399" spans="1:21" ht="75" x14ac:dyDescent="0.25">
      <c r="A399" s="2">
        <v>46</v>
      </c>
      <c r="B399" s="2" t="s">
        <v>1771</v>
      </c>
      <c r="C399" s="2" t="s">
        <v>1038</v>
      </c>
      <c r="D399" s="2" t="s">
        <v>126</v>
      </c>
      <c r="E399" s="2" t="s">
        <v>127</v>
      </c>
      <c r="F399" s="2" t="s">
        <v>59</v>
      </c>
      <c r="G399" s="2">
        <f>91-484-2421770</f>
        <v>-2422163</v>
      </c>
      <c r="H399" s="3" t="s">
        <v>1772</v>
      </c>
      <c r="I399" s="2"/>
      <c r="J399" s="2" t="s">
        <v>700</v>
      </c>
      <c r="K399" s="2"/>
      <c r="L399" s="2" t="s">
        <v>1773</v>
      </c>
      <c r="M399" s="2"/>
      <c r="N399" s="2"/>
      <c r="O399" s="2"/>
      <c r="P399" s="2" t="s">
        <v>31</v>
      </c>
      <c r="Q399" s="4">
        <v>45971</v>
      </c>
      <c r="R399" s="2"/>
      <c r="S399" s="2">
        <v>1</v>
      </c>
      <c r="T399" s="2" t="s">
        <v>1747</v>
      </c>
      <c r="U399" s="2" t="s">
        <v>34</v>
      </c>
    </row>
    <row r="400" spans="1:21" ht="120" x14ac:dyDescent="0.25">
      <c r="A400" s="2">
        <v>46</v>
      </c>
      <c r="B400" s="2" t="s">
        <v>1774</v>
      </c>
      <c r="C400" s="2" t="s">
        <v>1775</v>
      </c>
      <c r="D400" s="2" t="s">
        <v>102</v>
      </c>
      <c r="E400" s="2" t="s">
        <v>631</v>
      </c>
      <c r="F400" s="2" t="s">
        <v>49</v>
      </c>
      <c r="G400" s="2">
        <f>91-452-2670000</f>
        <v>-2670361</v>
      </c>
      <c r="H400" s="2"/>
      <c r="I400" s="2"/>
      <c r="J400" s="2" t="s">
        <v>1776</v>
      </c>
      <c r="K400" s="2"/>
      <c r="L400" s="2" t="s">
        <v>1777</v>
      </c>
      <c r="M400" s="2"/>
      <c r="N400" s="2"/>
      <c r="O400" s="2"/>
      <c r="P400" s="2" t="s">
        <v>31</v>
      </c>
      <c r="Q400" s="4">
        <v>45971</v>
      </c>
      <c r="R400" s="2" t="s">
        <v>1778</v>
      </c>
      <c r="S400" s="2">
        <v>1</v>
      </c>
      <c r="T400" s="2" t="s">
        <v>1747</v>
      </c>
      <c r="U400" s="2" t="s">
        <v>34</v>
      </c>
    </row>
    <row r="401" spans="1:21" ht="45" x14ac:dyDescent="0.25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5</v>
      </c>
      <c r="G401" s="1" t="s">
        <v>6</v>
      </c>
      <c r="H401" s="1" t="s">
        <v>7</v>
      </c>
      <c r="I401" s="1" t="s">
        <v>8</v>
      </c>
      <c r="J401" s="1" t="s">
        <v>9</v>
      </c>
      <c r="K401" s="1" t="s">
        <v>10</v>
      </c>
      <c r="L401" s="1" t="s">
        <v>11</v>
      </c>
      <c r="M401" s="1" t="s">
        <v>12</v>
      </c>
      <c r="N401" s="1" t="s">
        <v>13</v>
      </c>
      <c r="O401" s="1" t="s">
        <v>14</v>
      </c>
      <c r="P401" s="1" t="s">
        <v>15</v>
      </c>
      <c r="Q401" s="1" t="s">
        <v>16</v>
      </c>
      <c r="R401" s="1" t="s">
        <v>17</v>
      </c>
      <c r="S401" s="1" t="s">
        <v>18</v>
      </c>
      <c r="T401" s="1" t="s">
        <v>19</v>
      </c>
      <c r="U401" s="1" t="s">
        <v>20</v>
      </c>
    </row>
    <row r="402" spans="1:21" ht="135" x14ac:dyDescent="0.25">
      <c r="A402" s="2">
        <v>47</v>
      </c>
      <c r="B402" s="2" t="s">
        <v>1779</v>
      </c>
      <c r="C402" s="2" t="s">
        <v>22</v>
      </c>
      <c r="D402" s="2" t="s">
        <v>147</v>
      </c>
      <c r="E402" s="2" t="s">
        <v>148</v>
      </c>
      <c r="F402" s="2" t="s">
        <v>1780</v>
      </c>
      <c r="G402" s="2">
        <f>91-33-22891724</f>
        <v>-22891666</v>
      </c>
      <c r="H402" s="3" t="s">
        <v>1725</v>
      </c>
      <c r="I402" s="3" t="s">
        <v>1670</v>
      </c>
      <c r="J402" s="2" t="s">
        <v>1726</v>
      </c>
      <c r="K402" s="2"/>
      <c r="L402" s="2"/>
      <c r="M402" s="2" t="s">
        <v>1781</v>
      </c>
      <c r="N402" s="2"/>
      <c r="O402" s="2"/>
      <c r="P402" s="2" t="s">
        <v>31</v>
      </c>
      <c r="Q402" s="4">
        <v>45982</v>
      </c>
      <c r="R402" s="2" t="s">
        <v>1782</v>
      </c>
      <c r="S402" s="2">
        <v>1</v>
      </c>
      <c r="T402" s="2" t="s">
        <v>1783</v>
      </c>
      <c r="U402" s="2" t="s">
        <v>34</v>
      </c>
    </row>
    <row r="403" spans="1:21" ht="105" x14ac:dyDescent="0.25">
      <c r="A403" s="2">
        <v>47</v>
      </c>
      <c r="B403" s="2" t="s">
        <v>1784</v>
      </c>
      <c r="C403" s="2" t="s">
        <v>22</v>
      </c>
      <c r="D403" s="2" t="s">
        <v>23</v>
      </c>
      <c r="E403" s="2" t="s">
        <v>24</v>
      </c>
      <c r="F403" s="2" t="s">
        <v>476</v>
      </c>
      <c r="G403" s="2">
        <f>91-11-41619321</f>
        <v>-41619241</v>
      </c>
      <c r="H403" s="3" t="s">
        <v>1785</v>
      </c>
      <c r="I403" s="3" t="s">
        <v>1786</v>
      </c>
      <c r="J403" s="2" t="s">
        <v>24</v>
      </c>
      <c r="K403" s="2"/>
      <c r="L403" s="2"/>
      <c r="M403" s="2"/>
      <c r="N403" s="2"/>
      <c r="O403" s="2"/>
      <c r="P403" s="2" t="s">
        <v>31</v>
      </c>
      <c r="Q403" s="4">
        <v>45982</v>
      </c>
      <c r="R403" s="2" t="s">
        <v>1787</v>
      </c>
      <c r="S403" s="2">
        <v>1</v>
      </c>
      <c r="T403" s="2" t="s">
        <v>1783</v>
      </c>
      <c r="U403" s="2" t="s">
        <v>34</v>
      </c>
    </row>
    <row r="404" spans="1:21" ht="120" x14ac:dyDescent="0.25">
      <c r="A404" s="2">
        <v>47</v>
      </c>
      <c r="B404" s="2" t="s">
        <v>1788</v>
      </c>
      <c r="C404" s="2" t="s">
        <v>56</v>
      </c>
      <c r="D404" s="2" t="s">
        <v>36</v>
      </c>
      <c r="E404" s="2" t="s">
        <v>1789</v>
      </c>
      <c r="F404" s="2" t="s">
        <v>59</v>
      </c>
      <c r="G404" s="2">
        <f>91-7172-240000</f>
        <v>-247081</v>
      </c>
      <c r="H404" s="2"/>
      <c r="I404" s="3" t="s">
        <v>1790</v>
      </c>
      <c r="J404" s="2" t="s">
        <v>1791</v>
      </c>
      <c r="K404" s="2"/>
      <c r="L404" s="2" t="s">
        <v>1792</v>
      </c>
      <c r="M404" s="2"/>
      <c r="N404" s="2"/>
      <c r="O404" s="2"/>
      <c r="P404" s="2" t="s">
        <v>31</v>
      </c>
      <c r="Q404" s="4">
        <v>45971</v>
      </c>
      <c r="R404" s="2" t="s">
        <v>1793</v>
      </c>
      <c r="S404" s="2">
        <v>1</v>
      </c>
      <c r="T404" s="2" t="s">
        <v>1783</v>
      </c>
      <c r="U404" s="2" t="s">
        <v>34</v>
      </c>
    </row>
    <row r="405" spans="1:21" ht="90" x14ac:dyDescent="0.25">
      <c r="A405" s="2">
        <v>47</v>
      </c>
      <c r="B405" s="2" t="s">
        <v>1794</v>
      </c>
      <c r="C405" s="2" t="s">
        <v>56</v>
      </c>
      <c r="D405" s="2" t="s">
        <v>141</v>
      </c>
      <c r="E405" s="2" t="s">
        <v>1795</v>
      </c>
      <c r="F405" s="2" t="s">
        <v>59</v>
      </c>
      <c r="G405" s="2">
        <f>91-6856-233000</f>
        <v>-239765</v>
      </c>
      <c r="H405" s="3" t="s">
        <v>1796</v>
      </c>
      <c r="I405" s="3" t="s">
        <v>1797</v>
      </c>
      <c r="J405" s="2" t="s">
        <v>1798</v>
      </c>
      <c r="K405" s="2"/>
      <c r="L405" s="2" t="s">
        <v>1799</v>
      </c>
      <c r="M405" s="2"/>
      <c r="N405" s="2"/>
      <c r="O405" s="2"/>
      <c r="P405" s="2" t="s">
        <v>31</v>
      </c>
      <c r="Q405" s="4">
        <v>45971</v>
      </c>
      <c r="R405" s="2"/>
      <c r="S405" s="2">
        <v>1</v>
      </c>
      <c r="T405" s="2" t="s">
        <v>1783</v>
      </c>
      <c r="U405" s="2" t="s">
        <v>34</v>
      </c>
    </row>
    <row r="406" spans="1:21" ht="60" x14ac:dyDescent="0.25">
      <c r="A406" s="2">
        <v>47</v>
      </c>
      <c r="B406" s="2" t="s">
        <v>1800</v>
      </c>
      <c r="C406" s="2" t="s">
        <v>56</v>
      </c>
      <c r="D406" s="2" t="s">
        <v>298</v>
      </c>
      <c r="E406" s="2" t="s">
        <v>1801</v>
      </c>
      <c r="F406" s="2" t="s">
        <v>59</v>
      </c>
      <c r="G406" s="2">
        <f>91-8382-230000</f>
        <v>-238291</v>
      </c>
      <c r="H406" s="3" t="s">
        <v>1802</v>
      </c>
      <c r="I406" s="3" t="s">
        <v>1803</v>
      </c>
      <c r="J406" s="2" t="s">
        <v>1804</v>
      </c>
      <c r="K406" s="2"/>
      <c r="L406" s="2" t="s">
        <v>1805</v>
      </c>
      <c r="M406" s="2"/>
      <c r="N406" s="2"/>
      <c r="O406" s="2"/>
      <c r="P406" s="2" t="s">
        <v>31</v>
      </c>
      <c r="Q406" s="4">
        <v>45971</v>
      </c>
      <c r="R406" s="2"/>
      <c r="S406" s="2">
        <v>1</v>
      </c>
      <c r="T406" s="2" t="s">
        <v>1783</v>
      </c>
      <c r="U406" s="2" t="s">
        <v>34</v>
      </c>
    </row>
    <row r="407" spans="1:21" ht="105" x14ac:dyDescent="0.25">
      <c r="A407" s="2">
        <v>47</v>
      </c>
      <c r="B407" s="2" t="s">
        <v>1806</v>
      </c>
      <c r="C407" s="2" t="s">
        <v>56</v>
      </c>
      <c r="D407" s="2" t="s">
        <v>102</v>
      </c>
      <c r="E407" s="2" t="s">
        <v>1807</v>
      </c>
      <c r="F407" s="2" t="s">
        <v>59</v>
      </c>
      <c r="G407" s="2">
        <f>91-4324-275000</f>
        <v>-279233</v>
      </c>
      <c r="H407" s="3" t="s">
        <v>1808</v>
      </c>
      <c r="I407" s="3" t="s">
        <v>1809</v>
      </c>
      <c r="J407" s="2" t="s">
        <v>1810</v>
      </c>
      <c r="K407" s="2"/>
      <c r="L407" s="2" t="s">
        <v>1811</v>
      </c>
      <c r="M407" s="2"/>
      <c r="N407" s="2"/>
      <c r="O407" s="2"/>
      <c r="P407" s="2" t="s">
        <v>31</v>
      </c>
      <c r="Q407" s="4">
        <v>45971</v>
      </c>
      <c r="R407" s="2"/>
      <c r="S407" s="2">
        <v>1</v>
      </c>
      <c r="T407" s="2" t="s">
        <v>1783</v>
      </c>
      <c r="U407" s="2" t="s">
        <v>34</v>
      </c>
    </row>
    <row r="408" spans="1:21" ht="60" x14ac:dyDescent="0.25">
      <c r="A408" s="2">
        <v>47</v>
      </c>
      <c r="B408" s="2" t="s">
        <v>1812</v>
      </c>
      <c r="C408" s="2" t="s">
        <v>56</v>
      </c>
      <c r="D408" s="2" t="s">
        <v>102</v>
      </c>
      <c r="E408" s="2" t="s">
        <v>715</v>
      </c>
      <c r="F408" s="2" t="s">
        <v>59</v>
      </c>
      <c r="G408" s="2">
        <f>91-424-2560601</f>
        <v>-2560934</v>
      </c>
      <c r="H408" s="3" t="s">
        <v>1813</v>
      </c>
      <c r="I408" s="3" t="s">
        <v>1814</v>
      </c>
      <c r="J408" s="2" t="s">
        <v>1815</v>
      </c>
      <c r="K408" s="2"/>
      <c r="L408" s="2" t="s">
        <v>1816</v>
      </c>
      <c r="M408" s="2"/>
      <c r="N408" s="2"/>
      <c r="O408" s="2"/>
      <c r="P408" s="2" t="s">
        <v>31</v>
      </c>
      <c r="Q408" s="4">
        <v>45971</v>
      </c>
      <c r="R408" s="2"/>
      <c r="S408" s="2">
        <v>1</v>
      </c>
      <c r="T408" s="2" t="s">
        <v>1783</v>
      </c>
      <c r="U408" s="2" t="s">
        <v>34</v>
      </c>
    </row>
    <row r="409" spans="1:21" ht="120" x14ac:dyDescent="0.25">
      <c r="A409" s="2">
        <v>47</v>
      </c>
      <c r="B409" s="2" t="s">
        <v>1817</v>
      </c>
      <c r="C409" s="2" t="s">
        <v>56</v>
      </c>
      <c r="D409" s="2" t="s">
        <v>43</v>
      </c>
      <c r="E409" s="2" t="s">
        <v>44</v>
      </c>
      <c r="F409" s="2" t="s">
        <v>1818</v>
      </c>
      <c r="G409" s="2">
        <f>91-40-23487000</f>
        <v>-23486949</v>
      </c>
      <c r="H409" s="2"/>
      <c r="I409" s="3" t="s">
        <v>830</v>
      </c>
      <c r="J409" s="2" t="s">
        <v>1819</v>
      </c>
      <c r="K409" s="2"/>
      <c r="L409" s="2" t="s">
        <v>1820</v>
      </c>
      <c r="M409" s="2"/>
      <c r="N409" s="2"/>
      <c r="O409" s="2"/>
      <c r="P409" s="2" t="s">
        <v>31</v>
      </c>
      <c r="Q409" s="4">
        <v>45971</v>
      </c>
      <c r="R409" s="2"/>
      <c r="S409" s="2">
        <v>1</v>
      </c>
      <c r="T409" s="2" t="s">
        <v>1783</v>
      </c>
      <c r="U409" s="2" t="s">
        <v>34</v>
      </c>
    </row>
    <row r="410" spans="1:21" ht="90" x14ac:dyDescent="0.25">
      <c r="A410" s="2">
        <v>47</v>
      </c>
      <c r="B410" s="2" t="s">
        <v>1821</v>
      </c>
      <c r="C410" s="2" t="s">
        <v>56</v>
      </c>
      <c r="D410" s="2" t="s">
        <v>370</v>
      </c>
      <c r="E410" s="2" t="s">
        <v>1822</v>
      </c>
      <c r="F410" s="2" t="s">
        <v>59</v>
      </c>
      <c r="G410" s="2">
        <f>91-7658-222000</f>
        <v>-229567</v>
      </c>
      <c r="H410" s="2"/>
      <c r="I410" s="3" t="s">
        <v>1823</v>
      </c>
      <c r="J410" s="2" t="s">
        <v>1824</v>
      </c>
      <c r="K410" s="2"/>
      <c r="L410" s="2" t="s">
        <v>1825</v>
      </c>
      <c r="M410" s="2"/>
      <c r="N410" s="2"/>
      <c r="O410" s="2"/>
      <c r="P410" s="2" t="s">
        <v>31</v>
      </c>
      <c r="Q410" s="4">
        <v>45971</v>
      </c>
      <c r="R410" s="2"/>
      <c r="S410" s="2">
        <v>1</v>
      </c>
      <c r="T410" s="2" t="s">
        <v>1783</v>
      </c>
      <c r="U410" s="2" t="s">
        <v>34</v>
      </c>
    </row>
    <row r="411" spans="1:21" ht="75" x14ac:dyDescent="0.25">
      <c r="A411" s="2">
        <v>47</v>
      </c>
      <c r="B411" s="2" t="s">
        <v>1826</v>
      </c>
      <c r="C411" s="2" t="s">
        <v>56</v>
      </c>
      <c r="D411" s="2" t="s">
        <v>57</v>
      </c>
      <c r="E411" s="2" t="s">
        <v>1827</v>
      </c>
      <c r="F411" s="2" t="s">
        <v>59</v>
      </c>
      <c r="G411" s="2">
        <f>91-5278-258000</f>
        <v>-263187</v>
      </c>
      <c r="H411" s="3" t="s">
        <v>1828</v>
      </c>
      <c r="I411" s="3" t="s">
        <v>1829</v>
      </c>
      <c r="J411" s="2" t="s">
        <v>1830</v>
      </c>
      <c r="K411" s="2"/>
      <c r="L411" s="2" t="s">
        <v>1831</v>
      </c>
      <c r="M411" s="2"/>
      <c r="N411" s="2"/>
      <c r="O411" s="2"/>
      <c r="P411" s="2" t="s">
        <v>31</v>
      </c>
      <c r="Q411" s="4">
        <v>45971</v>
      </c>
      <c r="R411" s="2"/>
      <c r="S411" s="2">
        <v>1</v>
      </c>
      <c r="T411" s="2" t="s">
        <v>1783</v>
      </c>
      <c r="U411" s="2" t="s">
        <v>34</v>
      </c>
    </row>
    <row r="412" spans="1:21" ht="135" x14ac:dyDescent="0.25">
      <c r="A412" s="2">
        <v>47</v>
      </c>
      <c r="B412" s="2" t="s">
        <v>1832</v>
      </c>
      <c r="C412" s="2" t="s">
        <v>22</v>
      </c>
      <c r="D412" s="2" t="s">
        <v>23</v>
      </c>
      <c r="E412" s="2" t="s">
        <v>24</v>
      </c>
      <c r="F412" s="2" t="s">
        <v>476</v>
      </c>
      <c r="G412" s="2"/>
      <c r="H412" s="2"/>
      <c r="I412" s="2"/>
      <c r="J412" s="2" t="s">
        <v>24</v>
      </c>
      <c r="K412" s="2"/>
      <c r="L412" s="2" t="s">
        <v>1833</v>
      </c>
      <c r="M412" s="2"/>
      <c r="N412" s="2"/>
      <c r="O412" s="2"/>
      <c r="P412" s="2" t="s">
        <v>31</v>
      </c>
      <c r="Q412" s="4">
        <v>45982</v>
      </c>
      <c r="R412" s="2"/>
      <c r="S412" s="2">
        <v>1</v>
      </c>
      <c r="T412" s="2" t="s">
        <v>1783</v>
      </c>
      <c r="U412" s="2" t="s">
        <v>34</v>
      </c>
    </row>
    <row r="413" spans="1:21" ht="90" x14ac:dyDescent="0.25">
      <c r="A413" s="2">
        <v>47</v>
      </c>
      <c r="B413" s="2" t="s">
        <v>1834</v>
      </c>
      <c r="C413" s="2" t="s">
        <v>119</v>
      </c>
      <c r="D413" s="2" t="s">
        <v>57</v>
      </c>
      <c r="E413" s="2" t="s">
        <v>1835</v>
      </c>
      <c r="F413" s="2" t="s">
        <v>49</v>
      </c>
      <c r="G413" s="2">
        <f>91-132-2714100</f>
        <v>-2714141</v>
      </c>
      <c r="H413" s="3" t="s">
        <v>1836</v>
      </c>
      <c r="I413" s="3" t="s">
        <v>1837</v>
      </c>
      <c r="J413" s="2" t="s">
        <v>1835</v>
      </c>
      <c r="K413" s="2"/>
      <c r="L413" s="2" t="s">
        <v>1838</v>
      </c>
      <c r="M413" s="2"/>
      <c r="N413" s="2"/>
      <c r="O413" s="2"/>
      <c r="P413" s="2" t="s">
        <v>31</v>
      </c>
      <c r="Q413" s="4">
        <v>45982</v>
      </c>
      <c r="R413" s="2"/>
      <c r="S413" s="2">
        <v>1</v>
      </c>
      <c r="T413" s="2" t="s">
        <v>1783</v>
      </c>
      <c r="U413" s="2" t="s">
        <v>34</v>
      </c>
    </row>
    <row r="414" spans="1:21" ht="45" x14ac:dyDescent="0.25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4</v>
      </c>
      <c r="F414" s="1" t="s">
        <v>5</v>
      </c>
      <c r="G414" s="1" t="s">
        <v>6</v>
      </c>
      <c r="H414" s="1" t="s">
        <v>7</v>
      </c>
      <c r="I414" s="1" t="s">
        <v>8</v>
      </c>
      <c r="J414" s="1" t="s">
        <v>9</v>
      </c>
      <c r="K414" s="1" t="s">
        <v>10</v>
      </c>
      <c r="L414" s="1" t="s">
        <v>11</v>
      </c>
      <c r="M414" s="1" t="s">
        <v>12</v>
      </c>
      <c r="N414" s="1" t="s">
        <v>13</v>
      </c>
      <c r="O414" s="1" t="s">
        <v>14</v>
      </c>
      <c r="P414" s="1" t="s">
        <v>15</v>
      </c>
      <c r="Q414" s="1" t="s">
        <v>16</v>
      </c>
      <c r="R414" s="1" t="s">
        <v>17</v>
      </c>
      <c r="S414" s="1" t="s">
        <v>18</v>
      </c>
      <c r="T414" s="1" t="s">
        <v>19</v>
      </c>
      <c r="U414" s="1" t="s">
        <v>20</v>
      </c>
    </row>
    <row r="415" spans="1:21" ht="135" x14ac:dyDescent="0.25">
      <c r="A415" s="2">
        <v>48</v>
      </c>
      <c r="B415" s="2" t="s">
        <v>1779</v>
      </c>
      <c r="C415" s="2" t="s">
        <v>22</v>
      </c>
      <c r="D415" s="2" t="s">
        <v>147</v>
      </c>
      <c r="E415" s="2" t="s">
        <v>148</v>
      </c>
      <c r="F415" s="2" t="s">
        <v>1780</v>
      </c>
      <c r="G415" s="2">
        <f>91-33-22891724</f>
        <v>-22891666</v>
      </c>
      <c r="H415" s="3" t="s">
        <v>1725</v>
      </c>
      <c r="I415" s="3" t="s">
        <v>1670</v>
      </c>
      <c r="J415" s="2" t="s">
        <v>1726</v>
      </c>
      <c r="K415" s="2"/>
      <c r="L415" s="2"/>
      <c r="M415" s="2" t="s">
        <v>1839</v>
      </c>
      <c r="N415" s="2"/>
      <c r="O415" s="2"/>
      <c r="P415" s="2" t="s">
        <v>31</v>
      </c>
      <c r="Q415" s="4">
        <v>45982</v>
      </c>
      <c r="R415" s="2" t="s">
        <v>1840</v>
      </c>
      <c r="S415" s="2">
        <v>1</v>
      </c>
      <c r="T415" s="2" t="s">
        <v>1841</v>
      </c>
      <c r="U415" s="2" t="s">
        <v>34</v>
      </c>
    </row>
    <row r="416" spans="1:21" ht="105" x14ac:dyDescent="0.25">
      <c r="A416" s="2">
        <v>48</v>
      </c>
      <c r="B416" s="2" t="s">
        <v>1842</v>
      </c>
      <c r="C416" s="2" t="s">
        <v>22</v>
      </c>
      <c r="D416" s="2" t="s">
        <v>23</v>
      </c>
      <c r="E416" s="2" t="s">
        <v>24</v>
      </c>
      <c r="F416" s="2" t="s">
        <v>476</v>
      </c>
      <c r="G416" s="2">
        <f>91-11-41619321</f>
        <v>-41619241</v>
      </c>
      <c r="H416" s="3" t="s">
        <v>1785</v>
      </c>
      <c r="I416" s="3" t="s">
        <v>1786</v>
      </c>
      <c r="J416" s="2" t="s">
        <v>24</v>
      </c>
      <c r="K416" s="2"/>
      <c r="L416" s="2"/>
      <c r="M416" s="2"/>
      <c r="N416" s="2"/>
      <c r="O416" s="2"/>
      <c r="P416" s="2" t="s">
        <v>31</v>
      </c>
      <c r="Q416" s="4">
        <v>45982</v>
      </c>
      <c r="R416" s="2" t="s">
        <v>1843</v>
      </c>
      <c r="S416" s="2">
        <v>1</v>
      </c>
      <c r="T416" s="2" t="s">
        <v>1841</v>
      </c>
      <c r="U416" s="2" t="s">
        <v>34</v>
      </c>
    </row>
    <row r="417" spans="1:21" ht="90" x14ac:dyDescent="0.25">
      <c r="A417" s="2">
        <v>48</v>
      </c>
      <c r="B417" s="2" t="s">
        <v>1794</v>
      </c>
      <c r="C417" s="2" t="s">
        <v>56</v>
      </c>
      <c r="D417" s="2" t="s">
        <v>141</v>
      </c>
      <c r="E417" s="2" t="s">
        <v>1795</v>
      </c>
      <c r="F417" s="2" t="s">
        <v>59</v>
      </c>
      <c r="G417" s="2">
        <f>91-6856-233000</f>
        <v>-239765</v>
      </c>
      <c r="H417" s="3" t="s">
        <v>1796</v>
      </c>
      <c r="I417" s="3" t="s">
        <v>1797</v>
      </c>
      <c r="J417" s="2" t="s">
        <v>1844</v>
      </c>
      <c r="K417" s="2"/>
      <c r="L417" s="2" t="s">
        <v>1845</v>
      </c>
      <c r="M417" s="2"/>
      <c r="N417" s="2"/>
      <c r="O417" s="2"/>
      <c r="P417" s="2" t="s">
        <v>31</v>
      </c>
      <c r="Q417" s="4">
        <v>45971</v>
      </c>
      <c r="R417" s="2" t="s">
        <v>1846</v>
      </c>
      <c r="S417" s="2">
        <v>1</v>
      </c>
      <c r="T417" s="2" t="s">
        <v>1841</v>
      </c>
      <c r="U417" s="2" t="s">
        <v>34</v>
      </c>
    </row>
    <row r="418" spans="1:21" ht="90" x14ac:dyDescent="0.25">
      <c r="A418" s="2">
        <v>48</v>
      </c>
      <c r="B418" s="2" t="s">
        <v>1847</v>
      </c>
      <c r="C418" s="2" t="s">
        <v>56</v>
      </c>
      <c r="D418" s="2" t="s">
        <v>36</v>
      </c>
      <c r="E418" s="2" t="s">
        <v>1789</v>
      </c>
      <c r="F418" s="2" t="s">
        <v>59</v>
      </c>
      <c r="G418" s="2">
        <f>91-7172-240000</f>
        <v>-247081</v>
      </c>
      <c r="H418" s="2"/>
      <c r="I418" s="3" t="s">
        <v>1790</v>
      </c>
      <c r="J418" s="2" t="s">
        <v>1848</v>
      </c>
      <c r="K418" s="2"/>
      <c r="L418" s="2" t="s">
        <v>1849</v>
      </c>
      <c r="M418" s="2"/>
      <c r="N418" s="2"/>
      <c r="O418" s="2"/>
      <c r="P418" s="2" t="s">
        <v>31</v>
      </c>
      <c r="Q418" s="4">
        <v>45971</v>
      </c>
      <c r="R418" s="2"/>
      <c r="S418" s="2">
        <v>1</v>
      </c>
      <c r="T418" s="2" t="s">
        <v>1841</v>
      </c>
      <c r="U418" s="2" t="s">
        <v>34</v>
      </c>
    </row>
    <row r="419" spans="1:21" ht="75" x14ac:dyDescent="0.25">
      <c r="A419" s="2">
        <v>48</v>
      </c>
      <c r="B419" s="2" t="s">
        <v>1800</v>
      </c>
      <c r="C419" s="2" t="s">
        <v>56</v>
      </c>
      <c r="D419" s="2" t="s">
        <v>298</v>
      </c>
      <c r="E419" s="2" t="s">
        <v>1801</v>
      </c>
      <c r="F419" s="2" t="s">
        <v>59</v>
      </c>
      <c r="G419" s="2">
        <f>91-8382-230000</f>
        <v>-238291</v>
      </c>
      <c r="H419" s="3" t="s">
        <v>1802</v>
      </c>
      <c r="I419" s="3" t="s">
        <v>1803</v>
      </c>
      <c r="J419" s="2" t="s">
        <v>1804</v>
      </c>
      <c r="K419" s="2"/>
      <c r="L419" s="2" t="s">
        <v>1850</v>
      </c>
      <c r="M419" s="2"/>
      <c r="N419" s="2"/>
      <c r="O419" s="2"/>
      <c r="P419" s="2" t="s">
        <v>31</v>
      </c>
      <c r="Q419" s="4">
        <v>45971</v>
      </c>
      <c r="R419" s="2"/>
      <c r="S419" s="2">
        <v>1</v>
      </c>
      <c r="T419" s="2" t="s">
        <v>1841</v>
      </c>
      <c r="U419" s="2" t="s">
        <v>34</v>
      </c>
    </row>
    <row r="420" spans="1:21" ht="105" x14ac:dyDescent="0.25">
      <c r="A420" s="2">
        <v>48</v>
      </c>
      <c r="B420" s="2" t="s">
        <v>1806</v>
      </c>
      <c r="C420" s="2" t="s">
        <v>56</v>
      </c>
      <c r="D420" s="2" t="s">
        <v>102</v>
      </c>
      <c r="E420" s="2" t="s">
        <v>1807</v>
      </c>
      <c r="F420" s="2" t="s">
        <v>59</v>
      </c>
      <c r="G420" s="2">
        <f>91-4324-275000</f>
        <v>-279233</v>
      </c>
      <c r="H420" s="3" t="s">
        <v>1808</v>
      </c>
      <c r="I420" s="3" t="s">
        <v>1809</v>
      </c>
      <c r="J420" s="2" t="s">
        <v>1810</v>
      </c>
      <c r="K420" s="2"/>
      <c r="L420" s="2" t="s">
        <v>1851</v>
      </c>
      <c r="M420" s="2"/>
      <c r="N420" s="2"/>
      <c r="O420" s="2"/>
      <c r="P420" s="2" t="s">
        <v>31</v>
      </c>
      <c r="Q420" s="4">
        <v>45971</v>
      </c>
      <c r="R420" s="2"/>
      <c r="S420" s="2">
        <v>1</v>
      </c>
      <c r="T420" s="2" t="s">
        <v>1841</v>
      </c>
      <c r="U420" s="2" t="s">
        <v>34</v>
      </c>
    </row>
    <row r="421" spans="1:21" ht="105" x14ac:dyDescent="0.25">
      <c r="A421" s="2">
        <v>48</v>
      </c>
      <c r="B421" s="2" t="s">
        <v>1852</v>
      </c>
      <c r="C421" s="2" t="s">
        <v>56</v>
      </c>
      <c r="D421" s="2" t="s">
        <v>43</v>
      </c>
      <c r="E421" s="2" t="s">
        <v>44</v>
      </c>
      <c r="F421" s="2" t="s">
        <v>1818</v>
      </c>
      <c r="G421" s="2">
        <f>91-40-23487000</f>
        <v>-23486949</v>
      </c>
      <c r="H421" s="2"/>
      <c r="I421" s="3" t="s">
        <v>830</v>
      </c>
      <c r="J421" s="2" t="s">
        <v>1853</v>
      </c>
      <c r="K421" s="2"/>
      <c r="L421" s="2" t="s">
        <v>1854</v>
      </c>
      <c r="M421" s="2"/>
      <c r="N421" s="2"/>
      <c r="O421" s="2"/>
      <c r="P421" s="2" t="s">
        <v>31</v>
      </c>
      <c r="Q421" s="4">
        <v>45971</v>
      </c>
      <c r="R421" s="2" t="s">
        <v>1855</v>
      </c>
      <c r="S421" s="2">
        <v>1</v>
      </c>
      <c r="T421" s="2" t="s">
        <v>1841</v>
      </c>
      <c r="U421" s="2" t="s">
        <v>34</v>
      </c>
    </row>
    <row r="422" spans="1:21" ht="60" x14ac:dyDescent="0.25">
      <c r="A422" s="2">
        <v>48</v>
      </c>
      <c r="B422" s="2" t="s">
        <v>1812</v>
      </c>
      <c r="C422" s="2" t="s">
        <v>56</v>
      </c>
      <c r="D422" s="2" t="s">
        <v>102</v>
      </c>
      <c r="E422" s="2" t="s">
        <v>715</v>
      </c>
      <c r="F422" s="2" t="s">
        <v>59</v>
      </c>
      <c r="G422" s="2">
        <f>91-424-2560601</f>
        <v>-2560934</v>
      </c>
      <c r="H422" s="3" t="s">
        <v>1813</v>
      </c>
      <c r="I422" s="3" t="s">
        <v>1814</v>
      </c>
      <c r="J422" s="2" t="s">
        <v>1815</v>
      </c>
      <c r="K422" s="2"/>
      <c r="L422" s="2" t="s">
        <v>1856</v>
      </c>
      <c r="M422" s="2"/>
      <c r="N422" s="2"/>
      <c r="O422" s="2"/>
      <c r="P422" s="2" t="s">
        <v>31</v>
      </c>
      <c r="Q422" s="4">
        <v>45971</v>
      </c>
      <c r="R422" s="2"/>
      <c r="S422" s="2">
        <v>1</v>
      </c>
      <c r="T422" s="2" t="s">
        <v>1841</v>
      </c>
      <c r="U422" s="2" t="s">
        <v>34</v>
      </c>
    </row>
    <row r="423" spans="1:21" ht="60" x14ac:dyDescent="0.25">
      <c r="A423" s="2">
        <v>48</v>
      </c>
      <c r="B423" s="2" t="s">
        <v>1857</v>
      </c>
      <c r="C423" s="2" t="s">
        <v>56</v>
      </c>
      <c r="D423" s="2" t="s">
        <v>370</v>
      </c>
      <c r="E423" s="2" t="s">
        <v>1822</v>
      </c>
      <c r="F423" s="2" t="s">
        <v>59</v>
      </c>
      <c r="G423" s="2">
        <f>91-7658-222000</f>
        <v>-229567</v>
      </c>
      <c r="H423" s="2"/>
      <c r="I423" s="3" t="s">
        <v>1823</v>
      </c>
      <c r="J423" s="2" t="s">
        <v>1824</v>
      </c>
      <c r="K423" s="2"/>
      <c r="L423" s="2" t="s">
        <v>1858</v>
      </c>
      <c r="M423" s="2"/>
      <c r="N423" s="2"/>
      <c r="O423" s="2"/>
      <c r="P423" s="2" t="s">
        <v>31</v>
      </c>
      <c r="Q423" s="4">
        <v>45971</v>
      </c>
      <c r="R423" s="2"/>
      <c r="S423" s="2">
        <v>1</v>
      </c>
      <c r="T423" s="2" t="s">
        <v>1841</v>
      </c>
      <c r="U423" s="2" t="s">
        <v>34</v>
      </c>
    </row>
    <row r="424" spans="1:21" ht="75" x14ac:dyDescent="0.25">
      <c r="A424" s="2">
        <v>48</v>
      </c>
      <c r="B424" s="2" t="s">
        <v>1859</v>
      </c>
      <c r="C424" s="2" t="s">
        <v>56</v>
      </c>
      <c r="D424" s="2" t="s">
        <v>153</v>
      </c>
      <c r="E424" s="2" t="s">
        <v>1860</v>
      </c>
      <c r="F424" s="2" t="s">
        <v>59</v>
      </c>
      <c r="G424" s="2">
        <f>91-260-2432222</f>
        <v>-2432391</v>
      </c>
      <c r="H424" s="3" t="s">
        <v>1861</v>
      </c>
      <c r="I424" s="3" t="s">
        <v>1862</v>
      </c>
      <c r="J424" s="2" t="s">
        <v>1863</v>
      </c>
      <c r="K424" s="2"/>
      <c r="L424" s="2" t="s">
        <v>1864</v>
      </c>
      <c r="M424" s="2"/>
      <c r="N424" s="2"/>
      <c r="O424" s="2"/>
      <c r="P424" s="2" t="s">
        <v>31</v>
      </c>
      <c r="Q424" s="4">
        <v>45971</v>
      </c>
      <c r="R424" s="2"/>
      <c r="S424" s="2">
        <v>1</v>
      </c>
      <c r="T424" s="2" t="s">
        <v>1841</v>
      </c>
      <c r="U424" s="2" t="s">
        <v>34</v>
      </c>
    </row>
    <row r="425" spans="1:21" ht="75" x14ac:dyDescent="0.25">
      <c r="A425" s="2">
        <v>48</v>
      </c>
      <c r="B425" s="2" t="s">
        <v>1865</v>
      </c>
      <c r="C425" s="2" t="s">
        <v>56</v>
      </c>
      <c r="D425" s="2" t="s">
        <v>147</v>
      </c>
      <c r="E425" s="2" t="s">
        <v>148</v>
      </c>
      <c r="F425" s="2" t="s">
        <v>59</v>
      </c>
      <c r="G425" s="2">
        <f>91-33-66278000</f>
        <v>-66277942</v>
      </c>
      <c r="H425" s="3" t="s">
        <v>1866</v>
      </c>
      <c r="I425" s="3" t="s">
        <v>1867</v>
      </c>
      <c r="J425" s="2" t="s">
        <v>1868</v>
      </c>
      <c r="K425" s="2"/>
      <c r="L425" s="2" t="s">
        <v>1869</v>
      </c>
      <c r="M425" s="2"/>
      <c r="N425" s="2"/>
      <c r="O425" s="2"/>
      <c r="P425" s="2" t="s">
        <v>31</v>
      </c>
      <c r="Q425" s="4">
        <v>45971</v>
      </c>
      <c r="R425" s="2"/>
      <c r="S425" s="2">
        <v>1</v>
      </c>
      <c r="T425" s="2" t="s">
        <v>1841</v>
      </c>
      <c r="U425" s="2" t="s">
        <v>34</v>
      </c>
    </row>
    <row r="426" spans="1:21" ht="90" x14ac:dyDescent="0.25">
      <c r="A426" s="2">
        <v>48</v>
      </c>
      <c r="B426" s="2" t="s">
        <v>1870</v>
      </c>
      <c r="C426" s="2" t="s">
        <v>56</v>
      </c>
      <c r="D426" s="2" t="s">
        <v>135</v>
      </c>
      <c r="E426" s="2" t="s">
        <v>1871</v>
      </c>
      <c r="F426" s="2" t="s">
        <v>59</v>
      </c>
      <c r="G426" s="2">
        <f>91-883-2562777</f>
        <v>-2563569</v>
      </c>
      <c r="H426" s="2"/>
      <c r="I426" s="3" t="s">
        <v>1872</v>
      </c>
      <c r="J426" s="2" t="s">
        <v>1871</v>
      </c>
      <c r="K426" s="2"/>
      <c r="L426" s="2" t="s">
        <v>1873</v>
      </c>
      <c r="M426" s="2"/>
      <c r="N426" s="2"/>
      <c r="O426" s="2"/>
      <c r="P426" s="2" t="s">
        <v>31</v>
      </c>
      <c r="Q426" s="4">
        <v>45971</v>
      </c>
      <c r="R426" s="2"/>
      <c r="S426" s="2">
        <v>1</v>
      </c>
      <c r="T426" s="2" t="s">
        <v>1841</v>
      </c>
      <c r="U426" s="2" t="s">
        <v>34</v>
      </c>
    </row>
    <row r="427" spans="1:21" ht="90" x14ac:dyDescent="0.25">
      <c r="A427" s="2">
        <v>48</v>
      </c>
      <c r="B427" s="2" t="s">
        <v>1834</v>
      </c>
      <c r="C427" s="2" t="s">
        <v>119</v>
      </c>
      <c r="D427" s="2" t="s">
        <v>57</v>
      </c>
      <c r="E427" s="2" t="s">
        <v>1835</v>
      </c>
      <c r="F427" s="2" t="s">
        <v>49</v>
      </c>
      <c r="G427" s="2">
        <f>91-132-2714100</f>
        <v>-2714141</v>
      </c>
      <c r="H427" s="3" t="s">
        <v>1836</v>
      </c>
      <c r="I427" s="3" t="s">
        <v>1837</v>
      </c>
      <c r="J427" s="2" t="s">
        <v>1835</v>
      </c>
      <c r="K427" s="2"/>
      <c r="L427" s="2" t="s">
        <v>1874</v>
      </c>
      <c r="M427" s="2"/>
      <c r="N427" s="2"/>
      <c r="O427" s="2"/>
      <c r="P427" s="2" t="s">
        <v>31</v>
      </c>
      <c r="Q427" s="4">
        <v>45982</v>
      </c>
      <c r="R427" s="2"/>
      <c r="S427" s="2">
        <v>1</v>
      </c>
      <c r="T427" s="2" t="s">
        <v>1841</v>
      </c>
      <c r="U427" s="2" t="s">
        <v>34</v>
      </c>
    </row>
    <row r="428" spans="1:21" ht="45" x14ac:dyDescent="0.25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1" t="s">
        <v>5</v>
      </c>
      <c r="G428" s="1" t="s">
        <v>6</v>
      </c>
      <c r="H428" s="1" t="s">
        <v>7</v>
      </c>
      <c r="I428" s="1" t="s">
        <v>8</v>
      </c>
      <c r="J428" s="1" t="s">
        <v>9</v>
      </c>
      <c r="K428" s="1" t="s">
        <v>10</v>
      </c>
      <c r="L428" s="1" t="s">
        <v>11</v>
      </c>
      <c r="M428" s="1" t="s">
        <v>12</v>
      </c>
      <c r="N428" s="1" t="s">
        <v>13</v>
      </c>
      <c r="O428" s="1" t="s">
        <v>14</v>
      </c>
      <c r="P428" s="1" t="s">
        <v>15</v>
      </c>
      <c r="Q428" s="1" t="s">
        <v>16</v>
      </c>
      <c r="R428" s="1" t="s">
        <v>17</v>
      </c>
      <c r="S428" s="1" t="s">
        <v>18</v>
      </c>
      <c r="T428" s="1" t="s">
        <v>19</v>
      </c>
      <c r="U428" s="1" t="s">
        <v>20</v>
      </c>
    </row>
    <row r="429" spans="1:21" ht="135" x14ac:dyDescent="0.25">
      <c r="A429" s="2">
        <v>49</v>
      </c>
      <c r="B429" s="2" t="s">
        <v>1875</v>
      </c>
      <c r="C429" s="2" t="s">
        <v>22</v>
      </c>
      <c r="D429" s="2" t="s">
        <v>147</v>
      </c>
      <c r="E429" s="2" t="s">
        <v>148</v>
      </c>
      <c r="F429" s="2" t="s">
        <v>1876</v>
      </c>
      <c r="G429" s="2">
        <f>91-33-22891724</f>
        <v>-22891666</v>
      </c>
      <c r="H429" s="3" t="s">
        <v>1725</v>
      </c>
      <c r="I429" s="3" t="s">
        <v>1670</v>
      </c>
      <c r="J429" s="2" t="s">
        <v>1726</v>
      </c>
      <c r="K429" s="2"/>
      <c r="L429" s="2"/>
      <c r="M429" s="2" t="s">
        <v>1877</v>
      </c>
      <c r="N429" s="2"/>
      <c r="O429" s="2"/>
      <c r="P429" s="2" t="s">
        <v>31</v>
      </c>
      <c r="Q429" s="4">
        <v>45982</v>
      </c>
      <c r="R429" s="2" t="s">
        <v>1878</v>
      </c>
      <c r="S429" s="2">
        <v>1</v>
      </c>
      <c r="T429" s="2" t="s">
        <v>1879</v>
      </c>
      <c r="U429" s="2" t="s">
        <v>34</v>
      </c>
    </row>
    <row r="430" spans="1:21" ht="120" x14ac:dyDescent="0.25">
      <c r="A430" s="2">
        <v>49</v>
      </c>
      <c r="B430" s="2" t="s">
        <v>1880</v>
      </c>
      <c r="C430" s="2" t="s">
        <v>22</v>
      </c>
      <c r="D430" s="2" t="s">
        <v>23</v>
      </c>
      <c r="E430" s="2" t="s">
        <v>24</v>
      </c>
      <c r="F430" s="2" t="s">
        <v>476</v>
      </c>
      <c r="G430" s="2">
        <f>91-11-41329700</f>
        <v>-41329620</v>
      </c>
      <c r="H430" s="3" t="s">
        <v>1881</v>
      </c>
      <c r="I430" s="3" t="s">
        <v>1882</v>
      </c>
      <c r="J430" s="2" t="s">
        <v>24</v>
      </c>
      <c r="K430" s="2"/>
      <c r="L430" s="2"/>
      <c r="M430" s="2"/>
      <c r="N430" s="2"/>
      <c r="O430" s="2"/>
      <c r="P430" s="2" t="s">
        <v>31</v>
      </c>
      <c r="Q430" s="4">
        <v>45982</v>
      </c>
      <c r="R430" s="2" t="s">
        <v>1883</v>
      </c>
      <c r="S430" s="2">
        <v>1</v>
      </c>
      <c r="T430" s="2" t="s">
        <v>1879</v>
      </c>
      <c r="U430" s="2" t="s">
        <v>34</v>
      </c>
    </row>
    <row r="431" spans="1:21" ht="120" x14ac:dyDescent="0.25">
      <c r="A431" s="2">
        <v>49</v>
      </c>
      <c r="B431" s="2" t="s">
        <v>1884</v>
      </c>
      <c r="C431" s="2" t="s">
        <v>56</v>
      </c>
      <c r="D431" s="2" t="s">
        <v>23</v>
      </c>
      <c r="E431" s="2" t="s">
        <v>24</v>
      </c>
      <c r="F431" s="2" t="s">
        <v>59</v>
      </c>
      <c r="G431" s="2">
        <f>91-11-45555555</f>
        <v>-45555475</v>
      </c>
      <c r="H431" s="3" t="s">
        <v>1885</v>
      </c>
      <c r="I431" s="3" t="s">
        <v>1886</v>
      </c>
      <c r="J431" s="2" t="s">
        <v>1887</v>
      </c>
      <c r="K431" s="2"/>
      <c r="L431" s="2" t="s">
        <v>1888</v>
      </c>
      <c r="M431" s="2"/>
      <c r="N431" s="2"/>
      <c r="O431" s="2"/>
      <c r="P431" s="2" t="s">
        <v>31</v>
      </c>
      <c r="Q431" s="4">
        <v>45971</v>
      </c>
      <c r="R431" s="2" t="s">
        <v>1889</v>
      </c>
      <c r="S431" s="2">
        <v>1</v>
      </c>
      <c r="T431" s="2" t="s">
        <v>1879</v>
      </c>
      <c r="U431" s="2" t="s">
        <v>34</v>
      </c>
    </row>
    <row r="432" spans="1:21" ht="135" x14ac:dyDescent="0.25">
      <c r="A432" s="2">
        <v>49</v>
      </c>
      <c r="B432" s="2" t="s">
        <v>1890</v>
      </c>
      <c r="C432" s="2" t="s">
        <v>56</v>
      </c>
      <c r="D432" s="2" t="s">
        <v>321</v>
      </c>
      <c r="E432" s="2" t="s">
        <v>861</v>
      </c>
      <c r="F432" s="2" t="s">
        <v>59</v>
      </c>
      <c r="G432" s="2">
        <f>91-130-3050000</f>
        <v>-3050039</v>
      </c>
      <c r="H432" s="3" t="s">
        <v>1891</v>
      </c>
      <c r="I432" s="3" t="s">
        <v>1892</v>
      </c>
      <c r="J432" s="2" t="s">
        <v>1893</v>
      </c>
      <c r="K432" s="2"/>
      <c r="L432" s="2" t="s">
        <v>1894</v>
      </c>
      <c r="M432" s="2"/>
      <c r="N432" s="2"/>
      <c r="O432" s="2"/>
      <c r="P432" s="2" t="s">
        <v>31</v>
      </c>
      <c r="Q432" s="4">
        <v>45971</v>
      </c>
      <c r="R432" s="2"/>
      <c r="S432" s="2">
        <v>1</v>
      </c>
      <c r="T432" s="2" t="s">
        <v>1879</v>
      </c>
      <c r="U432" s="2" t="s">
        <v>34</v>
      </c>
    </row>
    <row r="433" spans="1:21" ht="90" x14ac:dyDescent="0.25">
      <c r="A433" s="2">
        <v>49</v>
      </c>
      <c r="B433" s="2" t="s">
        <v>1895</v>
      </c>
      <c r="C433" s="2" t="s">
        <v>56</v>
      </c>
      <c r="D433" s="2" t="s">
        <v>298</v>
      </c>
      <c r="E433" s="2" t="s">
        <v>1896</v>
      </c>
      <c r="F433" s="2" t="s">
        <v>59</v>
      </c>
      <c r="G433" s="2">
        <f>91-820-2570000</f>
        <v>-2570729</v>
      </c>
      <c r="H433" s="3" t="s">
        <v>1897</v>
      </c>
      <c r="I433" s="3" t="s">
        <v>1898</v>
      </c>
      <c r="J433" s="2" t="s">
        <v>1899</v>
      </c>
      <c r="K433" s="2"/>
      <c r="L433" s="2" t="s">
        <v>1900</v>
      </c>
      <c r="M433" s="2"/>
      <c r="N433" s="2"/>
      <c r="O433" s="2"/>
      <c r="P433" s="2" t="s">
        <v>31</v>
      </c>
      <c r="Q433" s="4">
        <v>45971</v>
      </c>
      <c r="R433" s="2"/>
      <c r="S433" s="2">
        <v>1</v>
      </c>
      <c r="T433" s="2" t="s">
        <v>1879</v>
      </c>
      <c r="U433" s="2" t="s">
        <v>34</v>
      </c>
    </row>
    <row r="434" spans="1:21" ht="60" x14ac:dyDescent="0.25">
      <c r="A434" s="2">
        <v>49</v>
      </c>
      <c r="B434" s="2" t="s">
        <v>1901</v>
      </c>
      <c r="C434" s="2" t="s">
        <v>56</v>
      </c>
      <c r="D434" s="2" t="s">
        <v>36</v>
      </c>
      <c r="E434" s="2" t="s">
        <v>526</v>
      </c>
      <c r="F434" s="2" t="s">
        <v>59</v>
      </c>
      <c r="G434" s="2">
        <f>91-22-40304000</f>
        <v>-40303931</v>
      </c>
      <c r="H434" s="3" t="s">
        <v>1902</v>
      </c>
      <c r="I434" s="3" t="s">
        <v>1903</v>
      </c>
      <c r="J434" s="2" t="s">
        <v>1904</v>
      </c>
      <c r="K434" s="2"/>
      <c r="L434" s="2" t="s">
        <v>1905</v>
      </c>
      <c r="M434" s="2"/>
      <c r="N434" s="2"/>
      <c r="O434" s="2"/>
      <c r="P434" s="2" t="s">
        <v>31</v>
      </c>
      <c r="Q434" s="4">
        <v>45971</v>
      </c>
      <c r="R434" s="2"/>
      <c r="S434" s="2">
        <v>1</v>
      </c>
      <c r="T434" s="2" t="s">
        <v>1879</v>
      </c>
      <c r="U434" s="2" t="s">
        <v>34</v>
      </c>
    </row>
    <row r="435" spans="1:21" ht="75" x14ac:dyDescent="0.25">
      <c r="A435" s="2">
        <v>49</v>
      </c>
      <c r="B435" s="2" t="s">
        <v>1906</v>
      </c>
      <c r="C435" s="2" t="s">
        <v>56</v>
      </c>
      <c r="D435" s="2" t="s">
        <v>23</v>
      </c>
      <c r="E435" s="2" t="s">
        <v>24</v>
      </c>
      <c r="F435" s="2" t="s">
        <v>59</v>
      </c>
      <c r="G435" s="2">
        <f>91-11-41080000</f>
        <v>-41079920</v>
      </c>
      <c r="H435" s="3" t="s">
        <v>1907</v>
      </c>
      <c r="I435" s="3" t="s">
        <v>1908</v>
      </c>
      <c r="J435" s="2" t="s">
        <v>1909</v>
      </c>
      <c r="K435" s="2"/>
      <c r="L435" s="2" t="s">
        <v>1910</v>
      </c>
      <c r="M435" s="2"/>
      <c r="N435" s="2"/>
      <c r="O435" s="2"/>
      <c r="P435" s="2" t="s">
        <v>31</v>
      </c>
      <c r="Q435" s="4">
        <v>45971</v>
      </c>
      <c r="R435" s="2"/>
      <c r="S435" s="2">
        <v>1</v>
      </c>
      <c r="T435" s="2" t="s">
        <v>1879</v>
      </c>
      <c r="U435" s="2" t="s">
        <v>34</v>
      </c>
    </row>
    <row r="436" spans="1:21" ht="75" x14ac:dyDescent="0.25">
      <c r="A436" s="2">
        <v>49</v>
      </c>
      <c r="B436" s="2" t="s">
        <v>1911</v>
      </c>
      <c r="C436" s="2" t="s">
        <v>56</v>
      </c>
      <c r="D436" s="2" t="s">
        <v>57</v>
      </c>
      <c r="E436" s="2" t="s">
        <v>1912</v>
      </c>
      <c r="F436" s="2" t="s">
        <v>59</v>
      </c>
      <c r="G436" s="2">
        <f>91-120-2460200</f>
        <v>-2460229</v>
      </c>
      <c r="H436" s="3" t="s">
        <v>1913</v>
      </c>
      <c r="I436" s="3" t="s">
        <v>1914</v>
      </c>
      <c r="J436" s="2" t="s">
        <v>1915</v>
      </c>
      <c r="K436" s="2"/>
      <c r="L436" s="2" t="s">
        <v>1916</v>
      </c>
      <c r="M436" s="2"/>
      <c r="N436" s="2"/>
      <c r="O436" s="2"/>
      <c r="P436" s="2" t="s">
        <v>31</v>
      </c>
      <c r="Q436" s="4">
        <v>45971</v>
      </c>
      <c r="R436" s="2"/>
      <c r="S436" s="2">
        <v>1</v>
      </c>
      <c r="T436" s="2" t="s">
        <v>1879</v>
      </c>
      <c r="U436" s="2" t="s">
        <v>34</v>
      </c>
    </row>
    <row r="437" spans="1:21" ht="60" x14ac:dyDescent="0.25">
      <c r="A437" s="2">
        <v>49</v>
      </c>
      <c r="B437" s="2" t="s">
        <v>1917</v>
      </c>
      <c r="C437" s="2" t="s">
        <v>56</v>
      </c>
      <c r="D437" s="2" t="s">
        <v>57</v>
      </c>
      <c r="E437" s="2" t="s">
        <v>1912</v>
      </c>
      <c r="F437" s="2" t="s">
        <v>59</v>
      </c>
      <c r="G437" s="2">
        <f>91-120-2565000</f>
        <v>-2565029</v>
      </c>
      <c r="H437" s="2"/>
      <c r="I437" s="3" t="s">
        <v>1918</v>
      </c>
      <c r="J437" s="2" t="s">
        <v>1912</v>
      </c>
      <c r="K437" s="2"/>
      <c r="L437" s="2" t="s">
        <v>1919</v>
      </c>
      <c r="M437" s="2"/>
      <c r="N437" s="2"/>
      <c r="O437" s="2"/>
      <c r="P437" s="2" t="s">
        <v>31</v>
      </c>
      <c r="Q437" s="4">
        <v>45971</v>
      </c>
      <c r="R437" s="2"/>
      <c r="S437" s="2">
        <v>1</v>
      </c>
      <c r="T437" s="2" t="s">
        <v>1879</v>
      </c>
      <c r="U437" s="2" t="s">
        <v>34</v>
      </c>
    </row>
    <row r="438" spans="1:21" ht="90" x14ac:dyDescent="0.25">
      <c r="A438" s="2">
        <v>49</v>
      </c>
      <c r="B438" s="2" t="s">
        <v>1920</v>
      </c>
      <c r="C438" s="2" t="s">
        <v>426</v>
      </c>
      <c r="D438" s="2" t="s">
        <v>1921</v>
      </c>
      <c r="E438" s="2" t="s">
        <v>1922</v>
      </c>
      <c r="F438" s="2" t="s">
        <v>655</v>
      </c>
      <c r="G438" s="2"/>
      <c r="H438" s="2"/>
      <c r="I438" s="2"/>
      <c r="J438" s="2" t="s">
        <v>1923</v>
      </c>
      <c r="K438" s="2"/>
      <c r="L438" s="2" t="s">
        <v>1924</v>
      </c>
      <c r="M438" s="2"/>
      <c r="N438" s="2"/>
      <c r="O438" s="2"/>
      <c r="P438" s="2" t="s">
        <v>31</v>
      </c>
      <c r="Q438" s="4">
        <v>45982</v>
      </c>
      <c r="R438" s="2" t="s">
        <v>1925</v>
      </c>
      <c r="S438" s="2">
        <v>1</v>
      </c>
      <c r="T438" s="2" t="s">
        <v>1879</v>
      </c>
      <c r="U438" s="2" t="s">
        <v>34</v>
      </c>
    </row>
    <row r="439" spans="1:21" ht="195" x14ac:dyDescent="0.25">
      <c r="A439" s="2">
        <v>49</v>
      </c>
      <c r="B439" s="2" t="s">
        <v>1926</v>
      </c>
      <c r="C439" s="2" t="s">
        <v>22</v>
      </c>
      <c r="D439" s="2" t="s">
        <v>23</v>
      </c>
      <c r="E439" s="2" t="s">
        <v>24</v>
      </c>
      <c r="F439" s="2" t="s">
        <v>541</v>
      </c>
      <c r="G439" s="2">
        <f>91-11-23738760</f>
        <v>-23738680</v>
      </c>
      <c r="H439" s="2"/>
      <c r="I439" s="3" t="s">
        <v>1927</v>
      </c>
      <c r="J439" s="2" t="s">
        <v>24</v>
      </c>
      <c r="K439" s="2"/>
      <c r="L439" s="2" t="s">
        <v>1928</v>
      </c>
      <c r="M439" s="2"/>
      <c r="N439" s="2"/>
      <c r="O439" s="2"/>
      <c r="P439" s="2" t="s">
        <v>31</v>
      </c>
      <c r="Q439" s="4">
        <v>45982</v>
      </c>
      <c r="R439" s="2"/>
      <c r="S439" s="2">
        <v>1</v>
      </c>
      <c r="T439" s="2" t="s">
        <v>1879</v>
      </c>
      <c r="U439" s="2" t="s">
        <v>34</v>
      </c>
    </row>
    <row r="440" spans="1:21" ht="45" x14ac:dyDescent="0.25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  <c r="F440" s="1" t="s">
        <v>5</v>
      </c>
      <c r="G440" s="1" t="s">
        <v>6</v>
      </c>
      <c r="H440" s="1" t="s">
        <v>7</v>
      </c>
      <c r="I440" s="1" t="s">
        <v>8</v>
      </c>
      <c r="J440" s="1" t="s">
        <v>9</v>
      </c>
      <c r="K440" s="1" t="s">
        <v>10</v>
      </c>
      <c r="L440" s="1" t="s">
        <v>11</v>
      </c>
      <c r="M440" s="1" t="s">
        <v>12</v>
      </c>
      <c r="N440" s="1" t="s">
        <v>13</v>
      </c>
      <c r="O440" s="1" t="s">
        <v>14</v>
      </c>
      <c r="P440" s="1" t="s">
        <v>15</v>
      </c>
      <c r="Q440" s="1" t="s">
        <v>16</v>
      </c>
      <c r="R440" s="1" t="s">
        <v>17</v>
      </c>
      <c r="S440" s="1" t="s">
        <v>18</v>
      </c>
      <c r="T440" s="1" t="s">
        <v>19</v>
      </c>
      <c r="U440" s="1" t="s">
        <v>20</v>
      </c>
    </row>
    <row r="441" spans="1:21" ht="135" x14ac:dyDescent="0.25">
      <c r="A441" s="2">
        <v>50</v>
      </c>
      <c r="B441" s="2" t="s">
        <v>1929</v>
      </c>
      <c r="C441" s="2" t="s">
        <v>233</v>
      </c>
      <c r="D441" s="2" t="s">
        <v>298</v>
      </c>
      <c r="E441" s="2" t="s">
        <v>299</v>
      </c>
      <c r="F441" s="2" t="s">
        <v>25</v>
      </c>
      <c r="G441" s="2">
        <f>91-80-22200281</f>
        <v>-22200270</v>
      </c>
      <c r="H441" s="3" t="s">
        <v>1930</v>
      </c>
      <c r="I441" s="3" t="s">
        <v>1931</v>
      </c>
      <c r="J441" s="2" t="s">
        <v>1932</v>
      </c>
      <c r="K441" s="2"/>
      <c r="L441" s="2"/>
      <c r="M441" s="2" t="s">
        <v>1933</v>
      </c>
      <c r="N441" s="2"/>
      <c r="O441" s="2"/>
      <c r="P441" s="2" t="s">
        <v>31</v>
      </c>
      <c r="Q441" s="4">
        <v>45982</v>
      </c>
      <c r="R441" s="2" t="s">
        <v>1934</v>
      </c>
      <c r="S441" s="2">
        <v>1</v>
      </c>
      <c r="T441" s="2" t="s">
        <v>1935</v>
      </c>
      <c r="U441" s="2" t="s">
        <v>34</v>
      </c>
    </row>
    <row r="442" spans="1:21" ht="135" x14ac:dyDescent="0.25">
      <c r="A442" s="2">
        <v>50</v>
      </c>
      <c r="B442" s="2" t="s">
        <v>1936</v>
      </c>
      <c r="C442" s="2" t="s">
        <v>233</v>
      </c>
      <c r="D442" s="2" t="s">
        <v>298</v>
      </c>
      <c r="E442" s="2" t="s">
        <v>299</v>
      </c>
      <c r="F442" s="2" t="s">
        <v>1937</v>
      </c>
      <c r="G442" s="2">
        <f>91-80-26680111</f>
        <v>-26680100</v>
      </c>
      <c r="H442" s="3" t="s">
        <v>1938</v>
      </c>
      <c r="I442" s="3" t="s">
        <v>1931</v>
      </c>
      <c r="J442" s="2" t="s">
        <v>299</v>
      </c>
      <c r="K442" s="2"/>
      <c r="L442" s="2"/>
      <c r="M442" s="2" t="s">
        <v>1939</v>
      </c>
      <c r="N442" s="2"/>
      <c r="O442" s="2"/>
      <c r="P442" s="2" t="s">
        <v>31</v>
      </c>
      <c r="Q442" s="4">
        <v>45982</v>
      </c>
      <c r="R442" s="2" t="s">
        <v>1940</v>
      </c>
      <c r="S442" s="2">
        <v>1</v>
      </c>
      <c r="T442" s="2" t="s">
        <v>1935</v>
      </c>
      <c r="U442" s="2" t="s">
        <v>34</v>
      </c>
    </row>
    <row r="443" spans="1:21" ht="105" x14ac:dyDescent="0.25">
      <c r="A443" s="2">
        <v>50</v>
      </c>
      <c r="B443" s="2" t="s">
        <v>1941</v>
      </c>
      <c r="C443" s="2" t="s">
        <v>22</v>
      </c>
      <c r="D443" s="2" t="s">
        <v>36</v>
      </c>
      <c r="E443" s="2" t="s">
        <v>526</v>
      </c>
      <c r="F443" s="2" t="s">
        <v>25</v>
      </c>
      <c r="G443" s="2">
        <f>91-22-22040851</f>
        <v>-22040782</v>
      </c>
      <c r="H443" s="3" t="s">
        <v>1942</v>
      </c>
      <c r="I443" s="3" t="s">
        <v>1943</v>
      </c>
      <c r="J443" s="2" t="s">
        <v>526</v>
      </c>
      <c r="K443" s="2"/>
      <c r="L443" s="2"/>
      <c r="M443" s="2" t="s">
        <v>1944</v>
      </c>
      <c r="N443" s="2"/>
      <c r="O443" s="2"/>
      <c r="P443" s="2" t="s">
        <v>31</v>
      </c>
      <c r="Q443" s="4">
        <v>45982</v>
      </c>
      <c r="R443" s="2"/>
      <c r="S443" s="2">
        <v>1</v>
      </c>
      <c r="T443" s="2" t="s">
        <v>1935</v>
      </c>
      <c r="U443" s="2" t="s">
        <v>34</v>
      </c>
    </row>
    <row r="444" spans="1:21" ht="105" x14ac:dyDescent="0.25">
      <c r="A444" s="2">
        <v>50</v>
      </c>
      <c r="B444" s="2" t="s">
        <v>1945</v>
      </c>
      <c r="C444" s="2" t="s">
        <v>233</v>
      </c>
      <c r="D444" s="2" t="s">
        <v>298</v>
      </c>
      <c r="E444" s="2" t="s">
        <v>299</v>
      </c>
      <c r="F444" s="2" t="s">
        <v>49</v>
      </c>
      <c r="G444" s="2">
        <f>91-80-23312333</f>
        <v>-23312322</v>
      </c>
      <c r="H444" s="2"/>
      <c r="I444" s="3" t="s">
        <v>1946</v>
      </c>
      <c r="J444" s="2" t="s">
        <v>299</v>
      </c>
      <c r="K444" s="2"/>
      <c r="L444" s="2"/>
      <c r="M444" s="2" t="s">
        <v>1947</v>
      </c>
      <c r="N444" s="2"/>
      <c r="O444" s="2"/>
      <c r="P444" s="2" t="s">
        <v>31</v>
      </c>
      <c r="Q444" s="4">
        <v>45982</v>
      </c>
      <c r="R444" s="2" t="s">
        <v>1948</v>
      </c>
      <c r="S444" s="2">
        <v>1</v>
      </c>
      <c r="T444" s="2" t="s">
        <v>1935</v>
      </c>
      <c r="U444" s="2" t="s">
        <v>34</v>
      </c>
    </row>
    <row r="445" spans="1:21" ht="150" x14ac:dyDescent="0.25">
      <c r="A445" s="2">
        <v>50</v>
      </c>
      <c r="B445" s="2" t="s">
        <v>1949</v>
      </c>
      <c r="C445" s="2" t="s">
        <v>1038</v>
      </c>
      <c r="D445" s="2" t="s">
        <v>1335</v>
      </c>
      <c r="E445" s="2" t="s">
        <v>1336</v>
      </c>
      <c r="F445" s="2" t="s">
        <v>59</v>
      </c>
      <c r="G445" s="2">
        <f>91-177-2807228</f>
        <v>-2807314</v>
      </c>
      <c r="H445" s="2"/>
      <c r="I445" s="3" t="s">
        <v>1950</v>
      </c>
      <c r="J445" s="2" t="s">
        <v>1336</v>
      </c>
      <c r="K445" s="2"/>
      <c r="L445" s="2" t="s">
        <v>1951</v>
      </c>
      <c r="M445" s="2"/>
      <c r="N445" s="2"/>
      <c r="O445" s="2"/>
      <c r="P445" s="2" t="s">
        <v>31</v>
      </c>
      <c r="Q445" s="4">
        <v>45971</v>
      </c>
      <c r="R445" s="2"/>
      <c r="S445" s="2">
        <v>1</v>
      </c>
      <c r="T445" s="2" t="s">
        <v>1935</v>
      </c>
      <c r="U445" s="2" t="s">
        <v>34</v>
      </c>
    </row>
    <row r="446" spans="1:21" ht="150" x14ac:dyDescent="0.25">
      <c r="A446" s="2">
        <v>50</v>
      </c>
      <c r="B446" s="2" t="s">
        <v>1952</v>
      </c>
      <c r="C446" s="2" t="s">
        <v>1038</v>
      </c>
      <c r="D446" s="2" t="s">
        <v>1953</v>
      </c>
      <c r="E446" s="2" t="s">
        <v>1954</v>
      </c>
      <c r="F446" s="2" t="s">
        <v>59</v>
      </c>
      <c r="G446" s="2">
        <f>91-651-2360200</f>
        <v>-2360760</v>
      </c>
      <c r="H446" s="3" t="s">
        <v>1955</v>
      </c>
      <c r="I446" s="3" t="s">
        <v>1956</v>
      </c>
      <c r="J446" s="2" t="s">
        <v>1954</v>
      </c>
      <c r="K446" s="2"/>
      <c r="L446" s="2" t="s">
        <v>1957</v>
      </c>
      <c r="M446" s="2"/>
      <c r="N446" s="2"/>
      <c r="O446" s="2"/>
      <c r="P446" s="2" t="s">
        <v>31</v>
      </c>
      <c r="Q446" s="4">
        <v>45971</v>
      </c>
      <c r="R446" s="2"/>
      <c r="S446" s="2">
        <v>1</v>
      </c>
      <c r="T446" s="2" t="s">
        <v>1935</v>
      </c>
      <c r="U446" s="2" t="s">
        <v>34</v>
      </c>
    </row>
    <row r="447" spans="1:21" ht="75" x14ac:dyDescent="0.25">
      <c r="A447" s="2">
        <v>50</v>
      </c>
      <c r="B447" s="2" t="s">
        <v>1958</v>
      </c>
      <c r="C447" s="2" t="s">
        <v>426</v>
      </c>
      <c r="D447" s="2" t="s">
        <v>397</v>
      </c>
      <c r="E447" s="2" t="s">
        <v>398</v>
      </c>
      <c r="F447" s="2" t="s">
        <v>655</v>
      </c>
      <c r="G447" s="2"/>
      <c r="H447" s="2"/>
      <c r="I447" s="2"/>
      <c r="J447" s="2" t="s">
        <v>1959</v>
      </c>
      <c r="K447" s="2"/>
      <c r="L447" s="2" t="s">
        <v>1960</v>
      </c>
      <c r="M447" s="2"/>
      <c r="N447" s="2"/>
      <c r="O447" s="2"/>
      <c r="P447" s="2" t="s">
        <v>31</v>
      </c>
      <c r="Q447" s="4">
        <v>45982</v>
      </c>
      <c r="R447" s="2" t="s">
        <v>1961</v>
      </c>
      <c r="S447" s="2">
        <v>1</v>
      </c>
      <c r="T447" s="2" t="s">
        <v>1935</v>
      </c>
      <c r="U447" s="2" t="s">
        <v>34</v>
      </c>
    </row>
    <row r="448" spans="1:21" ht="90" x14ac:dyDescent="0.25">
      <c r="A448" s="2">
        <v>50</v>
      </c>
      <c r="B448" s="2" t="s">
        <v>1962</v>
      </c>
      <c r="C448" s="2" t="s">
        <v>56</v>
      </c>
      <c r="D448" s="2" t="s">
        <v>298</v>
      </c>
      <c r="E448" s="2" t="s">
        <v>299</v>
      </c>
      <c r="F448" s="2" t="s">
        <v>113</v>
      </c>
      <c r="G448" s="2">
        <f>91-80-68188888</f>
        <v>-68188877</v>
      </c>
      <c r="H448" s="3" t="s">
        <v>1963</v>
      </c>
      <c r="I448" s="3" t="s">
        <v>1964</v>
      </c>
      <c r="J448" s="2" t="s">
        <v>299</v>
      </c>
      <c r="K448" s="2"/>
      <c r="L448" s="2" t="s">
        <v>1965</v>
      </c>
      <c r="M448" s="2"/>
      <c r="N448" s="2"/>
      <c r="O448" s="2"/>
      <c r="P448" s="2" t="s">
        <v>31</v>
      </c>
      <c r="Q448" s="4">
        <v>45971</v>
      </c>
      <c r="R448" s="2" t="s">
        <v>1966</v>
      </c>
      <c r="S448" s="2">
        <v>1</v>
      </c>
      <c r="T448" s="2" t="s">
        <v>1935</v>
      </c>
      <c r="U448" s="2" t="s">
        <v>34</v>
      </c>
    </row>
    <row r="449" spans="1:21" ht="105" x14ac:dyDescent="0.25">
      <c r="A449" s="2">
        <v>50</v>
      </c>
      <c r="B449" s="2" t="s">
        <v>1967</v>
      </c>
      <c r="C449" s="2" t="s">
        <v>1038</v>
      </c>
      <c r="D449" s="2" t="s">
        <v>298</v>
      </c>
      <c r="E449" s="2" t="s">
        <v>457</v>
      </c>
      <c r="F449" s="2" t="s">
        <v>59</v>
      </c>
      <c r="G449" s="2">
        <f>91-821-2480770</f>
        <v>-2481500</v>
      </c>
      <c r="H449" s="3" t="s">
        <v>1968</v>
      </c>
      <c r="I449" s="3" t="s">
        <v>1969</v>
      </c>
      <c r="J449" s="2" t="s">
        <v>457</v>
      </c>
      <c r="K449" s="2"/>
      <c r="L449" s="2" t="s">
        <v>1970</v>
      </c>
      <c r="M449" s="2"/>
      <c r="N449" s="2"/>
      <c r="O449" s="2"/>
      <c r="P449" s="2" t="s">
        <v>31</v>
      </c>
      <c r="Q449" s="4">
        <v>45971</v>
      </c>
      <c r="R449" s="2" t="s">
        <v>1971</v>
      </c>
      <c r="S449" s="2">
        <v>1</v>
      </c>
      <c r="T449" s="2" t="s">
        <v>1935</v>
      </c>
      <c r="U449" s="2" t="s">
        <v>34</v>
      </c>
    </row>
    <row r="450" spans="1:21" ht="90" x14ac:dyDescent="0.25">
      <c r="A450" s="2">
        <v>50</v>
      </c>
      <c r="B450" s="2" t="s">
        <v>1972</v>
      </c>
      <c r="C450" s="2" t="s">
        <v>233</v>
      </c>
      <c r="D450" s="2" t="s">
        <v>298</v>
      </c>
      <c r="E450" s="2" t="s">
        <v>299</v>
      </c>
      <c r="F450" s="2" t="s">
        <v>49</v>
      </c>
      <c r="G450" s="2">
        <f>91-80-26682222</f>
        <v>-26682211</v>
      </c>
      <c r="H450" s="3" t="s">
        <v>1973</v>
      </c>
      <c r="I450" s="3" t="s">
        <v>1974</v>
      </c>
      <c r="J450" s="2" t="s">
        <v>299</v>
      </c>
      <c r="K450" s="2"/>
      <c r="L450" s="2" t="s">
        <v>1975</v>
      </c>
      <c r="M450" s="2"/>
      <c r="N450" s="2"/>
      <c r="O450" s="2"/>
      <c r="P450" s="2" t="s">
        <v>31</v>
      </c>
      <c r="Q450" s="4">
        <v>45982</v>
      </c>
      <c r="R450" s="2"/>
      <c r="S450" s="2">
        <v>1</v>
      </c>
      <c r="T450" s="2" t="s">
        <v>1935</v>
      </c>
      <c r="U450" s="2" t="s">
        <v>34</v>
      </c>
    </row>
    <row r="451" spans="1:21" ht="45" x14ac:dyDescent="0.25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  <c r="G451" s="1" t="s">
        <v>6</v>
      </c>
      <c r="H451" s="1" t="s">
        <v>7</v>
      </c>
      <c r="I451" s="1" t="s">
        <v>8</v>
      </c>
      <c r="J451" s="1" t="s">
        <v>9</v>
      </c>
      <c r="K451" s="1" t="s">
        <v>10</v>
      </c>
      <c r="L451" s="1" t="s">
        <v>11</v>
      </c>
      <c r="M451" s="1" t="s">
        <v>12</v>
      </c>
      <c r="N451" s="1" t="s">
        <v>13</v>
      </c>
      <c r="O451" s="1" t="s">
        <v>14</v>
      </c>
      <c r="P451" s="1" t="s">
        <v>15</v>
      </c>
      <c r="Q451" s="1" t="s">
        <v>16</v>
      </c>
      <c r="R451" s="1" t="s">
        <v>17</v>
      </c>
      <c r="S451" s="1" t="s">
        <v>18</v>
      </c>
      <c r="T451" s="1" t="s">
        <v>19</v>
      </c>
      <c r="U451" s="1" t="s">
        <v>20</v>
      </c>
    </row>
    <row r="452" spans="1:21" ht="120" x14ac:dyDescent="0.25">
      <c r="A452" s="2">
        <v>51</v>
      </c>
      <c r="B452" s="2" t="s">
        <v>1976</v>
      </c>
      <c r="C452" s="2" t="s">
        <v>22</v>
      </c>
      <c r="D452" s="2" t="s">
        <v>36</v>
      </c>
      <c r="E452" s="2" t="s">
        <v>526</v>
      </c>
      <c r="F452" s="2" t="s">
        <v>897</v>
      </c>
      <c r="G452" s="2">
        <f>91-22-22043651</f>
        <v>-22043582</v>
      </c>
      <c r="H452" s="3" t="s">
        <v>1977</v>
      </c>
      <c r="I452" s="3" t="s">
        <v>1978</v>
      </c>
      <c r="J452" s="2" t="s">
        <v>526</v>
      </c>
      <c r="K452" s="2"/>
      <c r="L452" s="2"/>
      <c r="M452" s="2" t="s">
        <v>1979</v>
      </c>
      <c r="N452" s="2"/>
      <c r="O452" s="2"/>
      <c r="P452" s="2" t="s">
        <v>31</v>
      </c>
      <c r="Q452" s="4">
        <v>45982</v>
      </c>
      <c r="R452" s="2" t="s">
        <v>1980</v>
      </c>
      <c r="S452" s="2">
        <v>1</v>
      </c>
      <c r="T452" s="2" t="s">
        <v>1981</v>
      </c>
      <c r="U452" s="2" t="s">
        <v>34</v>
      </c>
    </row>
    <row r="453" spans="1:21" ht="120" x14ac:dyDescent="0.25">
      <c r="A453" s="2">
        <v>51</v>
      </c>
      <c r="B453" s="2" t="s">
        <v>1982</v>
      </c>
      <c r="C453" s="2" t="s">
        <v>233</v>
      </c>
      <c r="D453" s="2" t="s">
        <v>970</v>
      </c>
      <c r="E453" s="2" t="s">
        <v>991</v>
      </c>
      <c r="F453" s="2" t="s">
        <v>897</v>
      </c>
      <c r="G453" s="2">
        <f>91-291-2744081</f>
        <v>-2744281</v>
      </c>
      <c r="H453" s="3" t="s">
        <v>1983</v>
      </c>
      <c r="I453" s="3" t="s">
        <v>1984</v>
      </c>
      <c r="J453" s="2" t="s">
        <v>991</v>
      </c>
      <c r="K453" s="2"/>
      <c r="L453" s="2"/>
      <c r="M453" s="2" t="s">
        <v>1985</v>
      </c>
      <c r="N453" s="2"/>
      <c r="O453" s="2"/>
      <c r="P453" s="2" t="s">
        <v>31</v>
      </c>
      <c r="Q453" s="4">
        <v>45982</v>
      </c>
      <c r="R453" s="2" t="s">
        <v>1986</v>
      </c>
      <c r="S453" s="2">
        <v>1</v>
      </c>
      <c r="T453" s="2" t="s">
        <v>1981</v>
      </c>
      <c r="U453" s="2" t="s">
        <v>34</v>
      </c>
    </row>
    <row r="454" spans="1:21" ht="120" x14ac:dyDescent="0.25">
      <c r="A454" s="2">
        <v>51</v>
      </c>
      <c r="B454" s="2" t="s">
        <v>1987</v>
      </c>
      <c r="C454" s="2" t="s">
        <v>623</v>
      </c>
      <c r="D454" s="2" t="s">
        <v>1335</v>
      </c>
      <c r="E454" s="2" t="s">
        <v>1988</v>
      </c>
      <c r="F454" s="2" t="s">
        <v>59</v>
      </c>
      <c r="G454" s="2">
        <f>91-1902-222777</f>
        <v>-224588</v>
      </c>
      <c r="H454" s="3" t="s">
        <v>1989</v>
      </c>
      <c r="I454" s="3" t="s">
        <v>1990</v>
      </c>
      <c r="J454" s="2" t="s">
        <v>1991</v>
      </c>
      <c r="K454" s="2"/>
      <c r="L454" s="2" t="s">
        <v>1992</v>
      </c>
      <c r="M454" s="2"/>
      <c r="N454" s="2"/>
      <c r="O454" s="2"/>
      <c r="P454" s="2" t="s">
        <v>31</v>
      </c>
      <c r="Q454" s="4">
        <v>45971</v>
      </c>
      <c r="R454" s="2" t="s">
        <v>1993</v>
      </c>
      <c r="S454" s="2">
        <v>1</v>
      </c>
      <c r="T454" s="2" t="s">
        <v>1981</v>
      </c>
      <c r="U454" s="2" t="s">
        <v>34</v>
      </c>
    </row>
    <row r="455" spans="1:21" ht="105" x14ac:dyDescent="0.25">
      <c r="A455" s="2">
        <v>51</v>
      </c>
      <c r="B455" s="2" t="s">
        <v>1994</v>
      </c>
      <c r="C455" s="2" t="s">
        <v>1038</v>
      </c>
      <c r="D455" s="2" t="s">
        <v>970</v>
      </c>
      <c r="E455" s="2" t="s">
        <v>1995</v>
      </c>
      <c r="F455" s="2" t="s">
        <v>59</v>
      </c>
      <c r="G455" s="2">
        <f>91-141-2227272</f>
        <v>-2227322</v>
      </c>
      <c r="H455" s="3" t="s">
        <v>1996</v>
      </c>
      <c r="I455" s="2"/>
      <c r="J455" s="2" t="s">
        <v>1995</v>
      </c>
      <c r="K455" s="2"/>
      <c r="L455" s="2" t="s">
        <v>1997</v>
      </c>
      <c r="M455" s="2"/>
      <c r="N455" s="2"/>
      <c r="O455" s="2"/>
      <c r="P455" s="2" t="s">
        <v>31</v>
      </c>
      <c r="Q455" s="4">
        <v>45971</v>
      </c>
      <c r="R455" s="2"/>
      <c r="S455" s="2">
        <v>1</v>
      </c>
      <c r="T455" s="2" t="s">
        <v>1981</v>
      </c>
      <c r="U455" s="2" t="s">
        <v>34</v>
      </c>
    </row>
    <row r="456" spans="1:21" ht="105" x14ac:dyDescent="0.25">
      <c r="A456" s="2">
        <v>51</v>
      </c>
      <c r="B456" s="2" t="s">
        <v>1998</v>
      </c>
      <c r="C456" s="2" t="s">
        <v>426</v>
      </c>
      <c r="D456" s="2" t="s">
        <v>970</v>
      </c>
      <c r="E456" s="2" t="s">
        <v>1296</v>
      </c>
      <c r="F456" s="2" t="s">
        <v>655</v>
      </c>
      <c r="G456" s="2"/>
      <c r="H456" s="2"/>
      <c r="I456" s="2"/>
      <c r="J456" s="2" t="s">
        <v>1999</v>
      </c>
      <c r="K456" s="2"/>
      <c r="L456" s="2" t="s">
        <v>2000</v>
      </c>
      <c r="M456" s="2"/>
      <c r="N456" s="2"/>
      <c r="O456" s="2"/>
      <c r="P456" s="2" t="s">
        <v>31</v>
      </c>
      <c r="Q456" s="4">
        <v>45982</v>
      </c>
      <c r="R456" s="2" t="s">
        <v>2001</v>
      </c>
      <c r="S456" s="2">
        <v>1</v>
      </c>
      <c r="T456" s="2" t="s">
        <v>1981</v>
      </c>
      <c r="U456" s="2" t="s">
        <v>34</v>
      </c>
    </row>
    <row r="457" spans="1:21" ht="105" x14ac:dyDescent="0.25">
      <c r="A457" s="2">
        <v>51</v>
      </c>
      <c r="B457" s="2" t="s">
        <v>2002</v>
      </c>
      <c r="C457" s="2" t="s">
        <v>56</v>
      </c>
      <c r="D457" s="2" t="s">
        <v>970</v>
      </c>
      <c r="E457" s="2" t="s">
        <v>1296</v>
      </c>
      <c r="F457" s="2" t="s">
        <v>59</v>
      </c>
      <c r="G457" s="2">
        <f>91-151-2250000</f>
        <v>-2250060</v>
      </c>
      <c r="H457" s="3" t="s">
        <v>2003</v>
      </c>
      <c r="I457" s="3" t="s">
        <v>2004</v>
      </c>
      <c r="J457" s="2" t="s">
        <v>1296</v>
      </c>
      <c r="K457" s="2"/>
      <c r="L457" s="2" t="s">
        <v>2005</v>
      </c>
      <c r="M457" s="2"/>
      <c r="N457" s="2"/>
      <c r="O457" s="2"/>
      <c r="P457" s="2" t="s">
        <v>31</v>
      </c>
      <c r="Q457" s="4">
        <v>45971</v>
      </c>
      <c r="R457" s="2"/>
      <c r="S457" s="2">
        <v>1</v>
      </c>
      <c r="T457" s="2" t="s">
        <v>1981</v>
      </c>
      <c r="U457" s="2" t="s">
        <v>34</v>
      </c>
    </row>
    <row r="458" spans="1:21" ht="60" x14ac:dyDescent="0.25">
      <c r="A458" s="2">
        <v>51</v>
      </c>
      <c r="B458" s="2" t="s">
        <v>2006</v>
      </c>
      <c r="C458" s="2" t="s">
        <v>56</v>
      </c>
      <c r="D458" s="2" t="s">
        <v>841</v>
      </c>
      <c r="E458" s="2" t="s">
        <v>1325</v>
      </c>
      <c r="F458" s="2" t="s">
        <v>59</v>
      </c>
      <c r="G458" s="2">
        <f>91-161-2670000</f>
        <v>-2670070</v>
      </c>
      <c r="H458" s="3" t="s">
        <v>2007</v>
      </c>
      <c r="I458" s="2"/>
      <c r="J458" s="2" t="s">
        <v>1325</v>
      </c>
      <c r="K458" s="2"/>
      <c r="L458" s="2" t="s">
        <v>2008</v>
      </c>
      <c r="M458" s="2"/>
      <c r="N458" s="2"/>
      <c r="O458" s="2"/>
      <c r="P458" s="2" t="s">
        <v>31</v>
      </c>
      <c r="Q458" s="4">
        <v>45971</v>
      </c>
      <c r="R458" s="2"/>
      <c r="S458" s="2">
        <v>1</v>
      </c>
      <c r="T458" s="2" t="s">
        <v>1981</v>
      </c>
      <c r="U458" s="2" t="s">
        <v>34</v>
      </c>
    </row>
    <row r="459" spans="1:21" ht="60" x14ac:dyDescent="0.25">
      <c r="A459" s="2">
        <v>51</v>
      </c>
      <c r="B459" s="2" t="s">
        <v>2009</v>
      </c>
      <c r="C459" s="2" t="s">
        <v>56</v>
      </c>
      <c r="D459" s="2" t="s">
        <v>1335</v>
      </c>
      <c r="E459" s="2" t="s">
        <v>1988</v>
      </c>
      <c r="F459" s="2" t="s">
        <v>59</v>
      </c>
      <c r="G459" s="2">
        <f>91-1902-265000</f>
        <v>-266811</v>
      </c>
      <c r="H459" s="2"/>
      <c r="I459" s="2"/>
      <c r="J459" s="2" t="s">
        <v>2010</v>
      </c>
      <c r="K459" s="2"/>
      <c r="L459" s="2" t="s">
        <v>2011</v>
      </c>
      <c r="M459" s="2"/>
      <c r="N459" s="2"/>
      <c r="O459" s="2"/>
      <c r="P459" s="2" t="s">
        <v>31</v>
      </c>
      <c r="Q459" s="4">
        <v>45971</v>
      </c>
      <c r="R459" s="2"/>
      <c r="S459" s="2">
        <v>1</v>
      </c>
      <c r="T459" s="2" t="s">
        <v>1981</v>
      </c>
      <c r="U459" s="2" t="s">
        <v>34</v>
      </c>
    </row>
    <row r="460" spans="1:21" ht="90" x14ac:dyDescent="0.25">
      <c r="A460" s="2">
        <v>51</v>
      </c>
      <c r="B460" s="2" t="s">
        <v>2012</v>
      </c>
      <c r="C460" s="2" t="s">
        <v>22</v>
      </c>
      <c r="D460" s="2" t="s">
        <v>841</v>
      </c>
      <c r="E460" s="2" t="s">
        <v>1325</v>
      </c>
      <c r="F460" s="2" t="s">
        <v>476</v>
      </c>
      <c r="G460" s="2">
        <f>91-161-2670000</f>
        <v>-2670070</v>
      </c>
      <c r="H460" s="2"/>
      <c r="I460" s="2"/>
      <c r="J460" s="2" t="s">
        <v>1325</v>
      </c>
      <c r="K460" s="2"/>
      <c r="L460" s="2" t="s">
        <v>2013</v>
      </c>
      <c r="M460" s="2"/>
      <c r="N460" s="2"/>
      <c r="O460" s="2"/>
      <c r="P460" s="2" t="s">
        <v>31</v>
      </c>
      <c r="Q460" s="4">
        <v>45982</v>
      </c>
      <c r="R460" s="2"/>
      <c r="S460" s="2">
        <v>1</v>
      </c>
      <c r="T460" s="2" t="s">
        <v>1981</v>
      </c>
      <c r="U460" s="2" t="s">
        <v>34</v>
      </c>
    </row>
    <row r="461" spans="1:21" ht="45" x14ac:dyDescent="0.25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1" t="s">
        <v>5</v>
      </c>
      <c r="G461" s="1" t="s">
        <v>6</v>
      </c>
      <c r="H461" s="1" t="s">
        <v>7</v>
      </c>
      <c r="I461" s="1" t="s">
        <v>8</v>
      </c>
      <c r="J461" s="1" t="s">
        <v>9</v>
      </c>
      <c r="K461" s="1" t="s">
        <v>10</v>
      </c>
      <c r="L461" s="1" t="s">
        <v>11</v>
      </c>
      <c r="M461" s="1" t="s">
        <v>12</v>
      </c>
      <c r="N461" s="1" t="s">
        <v>13</v>
      </c>
      <c r="O461" s="1" t="s">
        <v>14</v>
      </c>
      <c r="P461" s="1" t="s">
        <v>15</v>
      </c>
      <c r="Q461" s="1" t="s">
        <v>16</v>
      </c>
      <c r="R461" s="1" t="s">
        <v>17</v>
      </c>
      <c r="S461" s="1" t="s">
        <v>18</v>
      </c>
      <c r="T461" s="1" t="s">
        <v>19</v>
      </c>
      <c r="U461" s="1" t="s">
        <v>20</v>
      </c>
    </row>
    <row r="462" spans="1:21" ht="105" x14ac:dyDescent="0.25">
      <c r="A462" s="2">
        <v>52</v>
      </c>
      <c r="B462" s="2" t="s">
        <v>2014</v>
      </c>
      <c r="C462" s="2" t="s">
        <v>233</v>
      </c>
      <c r="D462" s="2" t="s">
        <v>36</v>
      </c>
      <c r="E462" s="2" t="s">
        <v>722</v>
      </c>
      <c r="F462" s="2" t="s">
        <v>2015</v>
      </c>
      <c r="G462" s="2">
        <f>91-22-69013200</f>
        <v>-69013131</v>
      </c>
      <c r="H462" s="3" t="s">
        <v>2016</v>
      </c>
      <c r="I462" s="3" t="s">
        <v>2017</v>
      </c>
      <c r="J462" s="2" t="s">
        <v>722</v>
      </c>
      <c r="K462" s="2"/>
      <c r="L462" s="2"/>
      <c r="M462" s="2" t="s">
        <v>2018</v>
      </c>
      <c r="N462" s="2"/>
      <c r="O462" s="2"/>
      <c r="P462" s="2" t="s">
        <v>31</v>
      </c>
      <c r="Q462" s="4">
        <v>45982</v>
      </c>
      <c r="R462" s="2" t="s">
        <v>2019</v>
      </c>
      <c r="S462" s="2">
        <v>1</v>
      </c>
      <c r="T462" s="2" t="s">
        <v>2020</v>
      </c>
      <c r="U462" s="2" t="s">
        <v>34</v>
      </c>
    </row>
    <row r="463" spans="1:21" ht="105" x14ac:dyDescent="0.25">
      <c r="A463" s="2">
        <v>52</v>
      </c>
      <c r="B463" s="2" t="s">
        <v>2021</v>
      </c>
      <c r="C463" s="2" t="s">
        <v>233</v>
      </c>
      <c r="D463" s="2" t="s">
        <v>36</v>
      </c>
      <c r="E463" s="2" t="s">
        <v>526</v>
      </c>
      <c r="F463" s="2" t="s">
        <v>541</v>
      </c>
      <c r="G463" s="2">
        <f>91-22-66527500</f>
        <v>-66527431</v>
      </c>
      <c r="H463" s="3" t="s">
        <v>2022</v>
      </c>
      <c r="I463" s="3" t="s">
        <v>2023</v>
      </c>
      <c r="J463" s="2" t="s">
        <v>526</v>
      </c>
      <c r="K463" s="2"/>
      <c r="L463" s="2"/>
      <c r="M463" s="2" t="s">
        <v>2024</v>
      </c>
      <c r="N463" s="2"/>
      <c r="O463" s="2"/>
      <c r="P463" s="2" t="s">
        <v>31</v>
      </c>
      <c r="Q463" s="4">
        <v>45982</v>
      </c>
      <c r="R463" s="2"/>
      <c r="S463" s="2">
        <v>1</v>
      </c>
      <c r="T463" s="2" t="s">
        <v>2020</v>
      </c>
      <c r="U463" s="2" t="s">
        <v>34</v>
      </c>
    </row>
    <row r="464" spans="1:21" ht="75" x14ac:dyDescent="0.25">
      <c r="A464" s="2">
        <v>52</v>
      </c>
      <c r="B464" s="2" t="s">
        <v>2025</v>
      </c>
      <c r="C464" s="2" t="s">
        <v>22</v>
      </c>
      <c r="D464" s="2" t="s">
        <v>36</v>
      </c>
      <c r="E464" s="2" t="s">
        <v>526</v>
      </c>
      <c r="F464" s="2" t="s">
        <v>476</v>
      </c>
      <c r="G464" s="2">
        <f>91-22-22040501</f>
        <v>-22040432</v>
      </c>
      <c r="H464" s="3" t="s">
        <v>2026</v>
      </c>
      <c r="I464" s="3" t="s">
        <v>2027</v>
      </c>
      <c r="J464" s="2" t="s">
        <v>526</v>
      </c>
      <c r="K464" s="2"/>
      <c r="L464" s="2"/>
      <c r="M464" s="2" t="s">
        <v>2028</v>
      </c>
      <c r="N464" s="2"/>
      <c r="O464" s="2"/>
      <c r="P464" s="2" t="s">
        <v>31</v>
      </c>
      <c r="Q464" s="4">
        <v>45982</v>
      </c>
      <c r="R464" s="2"/>
      <c r="S464" s="2">
        <v>1</v>
      </c>
      <c r="T464" s="2" t="s">
        <v>2020</v>
      </c>
      <c r="U464" s="2" t="s">
        <v>34</v>
      </c>
    </row>
    <row r="465" spans="1:21" ht="90" x14ac:dyDescent="0.25">
      <c r="A465" s="2">
        <v>52</v>
      </c>
      <c r="B465" s="2" t="s">
        <v>2029</v>
      </c>
      <c r="C465" s="2" t="s">
        <v>1038</v>
      </c>
      <c r="D465" s="2" t="s">
        <v>153</v>
      </c>
      <c r="E465" s="2" t="s">
        <v>355</v>
      </c>
      <c r="F465" s="2" t="s">
        <v>59</v>
      </c>
      <c r="G465" s="2">
        <f>91-79-26400000</f>
        <v>-26399988</v>
      </c>
      <c r="H465" s="2"/>
      <c r="I465" s="2"/>
      <c r="J465" s="2" t="s">
        <v>355</v>
      </c>
      <c r="K465" s="2"/>
      <c r="L465" s="2" t="s">
        <v>2030</v>
      </c>
      <c r="M465" s="2"/>
      <c r="N465" s="2"/>
      <c r="O465" s="2"/>
      <c r="P465" s="2" t="s">
        <v>31</v>
      </c>
      <c r="Q465" s="4">
        <v>45982</v>
      </c>
      <c r="R465" s="2" t="s">
        <v>2031</v>
      </c>
      <c r="S465" s="2">
        <v>1</v>
      </c>
      <c r="T465" s="2" t="s">
        <v>2020</v>
      </c>
      <c r="U465" s="2" t="s">
        <v>34</v>
      </c>
    </row>
    <row r="466" spans="1:21" ht="60" x14ac:dyDescent="0.25">
      <c r="A466" s="2">
        <v>52</v>
      </c>
      <c r="B466" s="2" t="s">
        <v>2032</v>
      </c>
      <c r="C466" s="2" t="s">
        <v>56</v>
      </c>
      <c r="D466" s="2" t="s">
        <v>841</v>
      </c>
      <c r="E466" s="2" t="s">
        <v>1325</v>
      </c>
      <c r="F466" s="2" t="s">
        <v>59</v>
      </c>
      <c r="G466" s="2">
        <f>91-161-2220000</f>
        <v>-2220070</v>
      </c>
      <c r="H466" s="3" t="s">
        <v>2033</v>
      </c>
      <c r="I466" s="3" t="s">
        <v>2034</v>
      </c>
      <c r="J466" s="2" t="s">
        <v>1325</v>
      </c>
      <c r="K466" s="2"/>
      <c r="L466" s="2" t="s">
        <v>2035</v>
      </c>
      <c r="M466" s="2"/>
      <c r="N466" s="2"/>
      <c r="O466" s="2"/>
      <c r="P466" s="2" t="s">
        <v>31</v>
      </c>
      <c r="Q466" s="4">
        <v>45971</v>
      </c>
      <c r="R466" s="2"/>
      <c r="S466" s="2">
        <v>1</v>
      </c>
      <c r="T466" s="2" t="s">
        <v>2020</v>
      </c>
      <c r="U466" s="2" t="s">
        <v>34</v>
      </c>
    </row>
    <row r="467" spans="1:21" ht="75" x14ac:dyDescent="0.25">
      <c r="A467" s="2">
        <v>52</v>
      </c>
      <c r="B467" s="2" t="s">
        <v>2036</v>
      </c>
      <c r="C467" s="2" t="s">
        <v>56</v>
      </c>
      <c r="D467" s="2" t="s">
        <v>841</v>
      </c>
      <c r="E467" s="2" t="s">
        <v>2037</v>
      </c>
      <c r="F467" s="2" t="s">
        <v>59</v>
      </c>
      <c r="G467" s="2">
        <f>91-1679-222000</f>
        <v>-223588</v>
      </c>
      <c r="H467" s="3" t="s">
        <v>2038</v>
      </c>
      <c r="I467" s="3" t="s">
        <v>2039</v>
      </c>
      <c r="J467" s="2" t="s">
        <v>2040</v>
      </c>
      <c r="K467" s="2"/>
      <c r="L467" s="2" t="s">
        <v>2041</v>
      </c>
      <c r="M467" s="2"/>
      <c r="N467" s="2"/>
      <c r="O467" s="2"/>
      <c r="P467" s="2" t="s">
        <v>31</v>
      </c>
      <c r="Q467" s="4">
        <v>45971</v>
      </c>
      <c r="R467" s="2"/>
      <c r="S467" s="2">
        <v>1</v>
      </c>
      <c r="T467" s="2" t="s">
        <v>2020</v>
      </c>
      <c r="U467" s="2" t="s">
        <v>34</v>
      </c>
    </row>
    <row r="468" spans="1:21" ht="75" x14ac:dyDescent="0.25">
      <c r="A468" s="2">
        <v>52</v>
      </c>
      <c r="B468" s="2" t="s">
        <v>2042</v>
      </c>
      <c r="C468" s="2" t="s">
        <v>56</v>
      </c>
      <c r="D468" s="2" t="s">
        <v>970</v>
      </c>
      <c r="E468" s="2" t="s">
        <v>2043</v>
      </c>
      <c r="F468" s="2" t="s">
        <v>59</v>
      </c>
      <c r="G468" s="2">
        <f>91-1482-286000</f>
        <v>-287391</v>
      </c>
      <c r="H468" s="3" t="s">
        <v>2044</v>
      </c>
      <c r="I468" s="3" t="s">
        <v>2045</v>
      </c>
      <c r="J468" s="2" t="s">
        <v>2046</v>
      </c>
      <c r="K468" s="2"/>
      <c r="L468" s="2" t="s">
        <v>2047</v>
      </c>
      <c r="M468" s="2"/>
      <c r="N468" s="2"/>
      <c r="O468" s="2"/>
      <c r="P468" s="2" t="s">
        <v>31</v>
      </c>
      <c r="Q468" s="4">
        <v>45971</v>
      </c>
      <c r="R468" s="2"/>
      <c r="S468" s="2">
        <v>1</v>
      </c>
      <c r="T468" s="2" t="s">
        <v>2020</v>
      </c>
      <c r="U468" s="2" t="s">
        <v>34</v>
      </c>
    </row>
    <row r="469" spans="1:21" ht="45" x14ac:dyDescent="0.25">
      <c r="A469" s="2">
        <v>52</v>
      </c>
      <c r="B469" s="2" t="s">
        <v>2048</v>
      </c>
      <c r="C469" s="2" t="s">
        <v>56</v>
      </c>
      <c r="D469" s="2" t="s">
        <v>841</v>
      </c>
      <c r="E469" s="2" t="s">
        <v>1325</v>
      </c>
      <c r="F469" s="2" t="s">
        <v>59</v>
      </c>
      <c r="G469" s="2">
        <f>91-161-2670000</f>
        <v>-2670070</v>
      </c>
      <c r="H469" s="3" t="s">
        <v>2049</v>
      </c>
      <c r="I469" s="3" t="s">
        <v>2050</v>
      </c>
      <c r="J469" s="2" t="s">
        <v>1325</v>
      </c>
      <c r="K469" s="2"/>
      <c r="L469" s="2" t="s">
        <v>2051</v>
      </c>
      <c r="M469" s="2"/>
      <c r="N469" s="2"/>
      <c r="O469" s="2"/>
      <c r="P469" s="2" t="s">
        <v>31</v>
      </c>
      <c r="Q469" s="4">
        <v>45971</v>
      </c>
      <c r="R469" s="2"/>
      <c r="S469" s="2">
        <v>1</v>
      </c>
      <c r="T469" s="2" t="s">
        <v>2020</v>
      </c>
      <c r="U469" s="2" t="s">
        <v>34</v>
      </c>
    </row>
    <row r="470" spans="1:21" ht="75" x14ac:dyDescent="0.25">
      <c r="A470" s="2">
        <v>52</v>
      </c>
      <c r="B470" s="2" t="s">
        <v>2052</v>
      </c>
      <c r="C470" s="2" t="s">
        <v>56</v>
      </c>
      <c r="D470" s="2" t="s">
        <v>102</v>
      </c>
      <c r="E470" s="2" t="s">
        <v>103</v>
      </c>
      <c r="F470" s="2" t="s">
        <v>59</v>
      </c>
      <c r="G470" s="2">
        <f>91-422-2200000</f>
        <v>-2200331</v>
      </c>
      <c r="H470" s="3" t="s">
        <v>2053</v>
      </c>
      <c r="I470" s="3" t="s">
        <v>2054</v>
      </c>
      <c r="J470" s="2" t="s">
        <v>103</v>
      </c>
      <c r="K470" s="2"/>
      <c r="L470" s="2" t="s">
        <v>2055</v>
      </c>
      <c r="M470" s="2"/>
      <c r="N470" s="2"/>
      <c r="O470" s="2"/>
      <c r="P470" s="2" t="s">
        <v>31</v>
      </c>
      <c r="Q470" s="4">
        <v>45971</v>
      </c>
      <c r="R470" s="2"/>
      <c r="S470" s="2">
        <v>1</v>
      </c>
      <c r="T470" s="2" t="s">
        <v>2020</v>
      </c>
      <c r="U470" s="2" t="s">
        <v>34</v>
      </c>
    </row>
    <row r="471" spans="1:21" ht="75" x14ac:dyDescent="0.25">
      <c r="A471" s="2">
        <v>52</v>
      </c>
      <c r="B471" s="2" t="s">
        <v>2056</v>
      </c>
      <c r="C471" s="2" t="s">
        <v>56</v>
      </c>
      <c r="D471" s="2" t="s">
        <v>153</v>
      </c>
      <c r="E471" s="2" t="s">
        <v>1860</v>
      </c>
      <c r="F471" s="2" t="s">
        <v>59</v>
      </c>
      <c r="G471" s="2">
        <f>91-260-2430000</f>
        <v>-2430169</v>
      </c>
      <c r="H471" s="2"/>
      <c r="I471" s="3" t="s">
        <v>2057</v>
      </c>
      <c r="J471" s="2" t="s">
        <v>2058</v>
      </c>
      <c r="K471" s="2"/>
      <c r="L471" s="2" t="s">
        <v>2059</v>
      </c>
      <c r="M471" s="2"/>
      <c r="N471" s="2"/>
      <c r="O471" s="2"/>
      <c r="P471" s="2" t="s">
        <v>31</v>
      </c>
      <c r="Q471" s="4">
        <v>45971</v>
      </c>
      <c r="R471" s="2"/>
      <c r="S471" s="2">
        <v>1</v>
      </c>
      <c r="T471" s="2" t="s">
        <v>2020</v>
      </c>
      <c r="U471" s="2" t="s">
        <v>34</v>
      </c>
    </row>
    <row r="472" spans="1:21" ht="135" x14ac:dyDescent="0.25">
      <c r="A472" s="2">
        <v>52</v>
      </c>
      <c r="B472" s="2" t="s">
        <v>2060</v>
      </c>
      <c r="C472" s="2" t="s">
        <v>426</v>
      </c>
      <c r="D472" s="2" t="s">
        <v>153</v>
      </c>
      <c r="E472" s="2" t="s">
        <v>2061</v>
      </c>
      <c r="F472" s="2" t="s">
        <v>655</v>
      </c>
      <c r="G472" s="2"/>
      <c r="H472" s="2"/>
      <c r="I472" s="2"/>
      <c r="J472" s="2" t="s">
        <v>2061</v>
      </c>
      <c r="K472" s="2"/>
      <c r="L472" s="2" t="s">
        <v>2062</v>
      </c>
      <c r="M472" s="2"/>
      <c r="N472" s="2"/>
      <c r="O472" s="2"/>
      <c r="P472" s="2" t="s">
        <v>31</v>
      </c>
      <c r="Q472" s="4">
        <v>45982</v>
      </c>
      <c r="R472" s="2"/>
      <c r="S472" s="2">
        <v>1</v>
      </c>
      <c r="T472" s="2" t="s">
        <v>2020</v>
      </c>
      <c r="U472" s="2" t="s">
        <v>34</v>
      </c>
    </row>
    <row r="473" spans="1:21" ht="75" x14ac:dyDescent="0.25">
      <c r="A473" s="2">
        <v>52</v>
      </c>
      <c r="B473" s="2" t="s">
        <v>2063</v>
      </c>
      <c r="C473" s="2" t="s">
        <v>426</v>
      </c>
      <c r="D473" s="2" t="s">
        <v>102</v>
      </c>
      <c r="E473" s="2" t="s">
        <v>103</v>
      </c>
      <c r="F473" s="2" t="s">
        <v>655</v>
      </c>
      <c r="G473" s="2"/>
      <c r="H473" s="2"/>
      <c r="I473" s="2"/>
      <c r="J473" s="2" t="s">
        <v>2064</v>
      </c>
      <c r="K473" s="2"/>
      <c r="L473" s="2" t="s">
        <v>2065</v>
      </c>
      <c r="M473" s="2"/>
      <c r="N473" s="2"/>
      <c r="O473" s="2"/>
      <c r="P473" s="2" t="s">
        <v>31</v>
      </c>
      <c r="Q473" s="4">
        <v>45982</v>
      </c>
      <c r="R473" s="2"/>
      <c r="S473" s="2">
        <v>1</v>
      </c>
      <c r="T473" s="2" t="s">
        <v>2020</v>
      </c>
      <c r="U473" s="2" t="s">
        <v>34</v>
      </c>
    </row>
    <row r="474" spans="1:21" ht="90" x14ac:dyDescent="0.25">
      <c r="A474" s="2">
        <v>52</v>
      </c>
      <c r="B474" s="2" t="s">
        <v>2066</v>
      </c>
      <c r="C474" s="2" t="s">
        <v>233</v>
      </c>
      <c r="D474" s="2" t="s">
        <v>36</v>
      </c>
      <c r="E474" s="2" t="s">
        <v>526</v>
      </c>
      <c r="F474" s="2" t="s">
        <v>49</v>
      </c>
      <c r="G474" s="2">
        <f>91-22-22022200</f>
        <v>-22022131</v>
      </c>
      <c r="H474" s="2"/>
      <c r="I474" s="3" t="s">
        <v>2067</v>
      </c>
      <c r="J474" s="2" t="s">
        <v>526</v>
      </c>
      <c r="K474" s="2"/>
      <c r="L474" s="2" t="s">
        <v>2068</v>
      </c>
      <c r="M474" s="2"/>
      <c r="N474" s="2"/>
      <c r="O474" s="2"/>
      <c r="P474" s="2" t="s">
        <v>31</v>
      </c>
      <c r="Q474" s="4">
        <v>45982</v>
      </c>
      <c r="R474" s="2"/>
      <c r="S474" s="2">
        <v>1</v>
      </c>
      <c r="T474" s="2" t="s">
        <v>2020</v>
      </c>
      <c r="U474" s="2" t="s">
        <v>34</v>
      </c>
    </row>
    <row r="475" spans="1:21" ht="45" x14ac:dyDescent="0.25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12</v>
      </c>
      <c r="N475" s="1" t="s">
        <v>13</v>
      </c>
      <c r="O475" s="1" t="s">
        <v>14</v>
      </c>
      <c r="P475" s="1" t="s">
        <v>15</v>
      </c>
      <c r="Q475" s="1" t="s">
        <v>16</v>
      </c>
      <c r="R475" s="1" t="s">
        <v>17</v>
      </c>
      <c r="S475" s="1" t="s">
        <v>18</v>
      </c>
      <c r="T475" s="1" t="s">
        <v>19</v>
      </c>
      <c r="U475" s="1" t="s">
        <v>20</v>
      </c>
    </row>
    <row r="476" spans="1:21" ht="90" x14ac:dyDescent="0.25">
      <c r="A476" s="2">
        <v>53</v>
      </c>
      <c r="B476" s="2" t="s">
        <v>2069</v>
      </c>
      <c r="C476" s="2" t="s">
        <v>233</v>
      </c>
      <c r="D476" s="2" t="s">
        <v>147</v>
      </c>
      <c r="E476" s="2" t="s">
        <v>148</v>
      </c>
      <c r="F476" s="2" t="s">
        <v>541</v>
      </c>
      <c r="G476" s="2">
        <f>91-33-23504966</f>
        <v>-23504908</v>
      </c>
      <c r="H476" s="3" t="s">
        <v>2070</v>
      </c>
      <c r="I476" s="3" t="s">
        <v>2071</v>
      </c>
      <c r="J476" s="2" t="s">
        <v>148</v>
      </c>
      <c r="K476" s="2"/>
      <c r="L476" s="2"/>
      <c r="M476" s="2" t="s">
        <v>2072</v>
      </c>
      <c r="N476" s="2"/>
      <c r="O476" s="2"/>
      <c r="P476" s="2" t="s">
        <v>31</v>
      </c>
      <c r="Q476" s="4">
        <v>45982</v>
      </c>
      <c r="R476" s="2" t="s">
        <v>1986</v>
      </c>
      <c r="S476" s="2">
        <v>1</v>
      </c>
      <c r="T476" s="2" t="s">
        <v>2073</v>
      </c>
      <c r="U476" s="2" t="s">
        <v>34</v>
      </c>
    </row>
    <row r="477" spans="1:21" ht="120" x14ac:dyDescent="0.25">
      <c r="A477" s="2">
        <v>53</v>
      </c>
      <c r="B477" s="2" t="s">
        <v>2074</v>
      </c>
      <c r="C477" s="2" t="s">
        <v>1066</v>
      </c>
      <c r="D477" s="2" t="s">
        <v>147</v>
      </c>
      <c r="E477" s="2" t="s">
        <v>148</v>
      </c>
      <c r="F477" s="2" t="s">
        <v>49</v>
      </c>
      <c r="G477" s="2">
        <f>91-33-24615444</f>
        <v>-24615386</v>
      </c>
      <c r="H477" s="3" t="s">
        <v>2075</v>
      </c>
      <c r="I477" s="3" t="s">
        <v>2076</v>
      </c>
      <c r="J477" s="2" t="s">
        <v>148</v>
      </c>
      <c r="K477" s="2"/>
      <c r="L477" s="2"/>
      <c r="M477" s="2" t="s">
        <v>2077</v>
      </c>
      <c r="N477" s="2"/>
      <c r="O477" s="2"/>
      <c r="P477" s="2" t="s">
        <v>31</v>
      </c>
      <c r="Q477" s="4">
        <v>45982</v>
      </c>
      <c r="R477" s="2"/>
      <c r="S477" s="2">
        <v>1</v>
      </c>
      <c r="T477" s="2" t="s">
        <v>2073</v>
      </c>
      <c r="U477" s="2" t="s">
        <v>34</v>
      </c>
    </row>
    <row r="478" spans="1:21" ht="75" x14ac:dyDescent="0.25">
      <c r="A478" s="2">
        <v>53</v>
      </c>
      <c r="B478" s="2" t="s">
        <v>2078</v>
      </c>
      <c r="C478" s="2" t="s">
        <v>233</v>
      </c>
      <c r="D478" s="2" t="s">
        <v>147</v>
      </c>
      <c r="E478" s="2" t="s">
        <v>148</v>
      </c>
      <c r="F478" s="2" t="s">
        <v>2015</v>
      </c>
      <c r="G478" s="2">
        <f>91-33-22302211</f>
        <v>-22302153</v>
      </c>
      <c r="H478" s="3" t="s">
        <v>2079</v>
      </c>
      <c r="I478" s="3" t="s">
        <v>2080</v>
      </c>
      <c r="J478" s="2" t="s">
        <v>148</v>
      </c>
      <c r="K478" s="2"/>
      <c r="L478" s="2"/>
      <c r="M478" s="2" t="s">
        <v>2081</v>
      </c>
      <c r="N478" s="2"/>
      <c r="O478" s="2"/>
      <c r="P478" s="2" t="s">
        <v>31</v>
      </c>
      <c r="Q478" s="4">
        <v>45982</v>
      </c>
      <c r="R478" s="2" t="s">
        <v>2082</v>
      </c>
      <c r="S478" s="2">
        <v>1</v>
      </c>
      <c r="T478" s="2" t="s">
        <v>2073</v>
      </c>
      <c r="U478" s="2" t="s">
        <v>34</v>
      </c>
    </row>
    <row r="479" spans="1:21" ht="90" x14ac:dyDescent="0.25">
      <c r="A479" s="2">
        <v>53</v>
      </c>
      <c r="B479" s="2" t="s">
        <v>2083</v>
      </c>
      <c r="C479" s="2" t="s">
        <v>56</v>
      </c>
      <c r="D479" s="2" t="s">
        <v>147</v>
      </c>
      <c r="E479" s="2" t="s">
        <v>148</v>
      </c>
      <c r="F479" s="2" t="s">
        <v>59</v>
      </c>
      <c r="G479" s="2">
        <f>91-33-22439325</f>
        <v>-22439267</v>
      </c>
      <c r="H479" s="3" t="s">
        <v>2084</v>
      </c>
      <c r="I479" s="3" t="s">
        <v>2085</v>
      </c>
      <c r="J479" s="2" t="s">
        <v>2086</v>
      </c>
      <c r="K479" s="2"/>
      <c r="L479" s="2" t="s">
        <v>2087</v>
      </c>
      <c r="M479" s="2"/>
      <c r="N479" s="2"/>
      <c r="O479" s="2"/>
      <c r="P479" s="2" t="s">
        <v>31</v>
      </c>
      <c r="Q479" s="4">
        <v>45971</v>
      </c>
      <c r="R479" s="2"/>
      <c r="S479" s="2">
        <v>1</v>
      </c>
      <c r="T479" s="2" t="s">
        <v>2073</v>
      </c>
      <c r="U479" s="2" t="s">
        <v>34</v>
      </c>
    </row>
    <row r="480" spans="1:21" ht="105" x14ac:dyDescent="0.25">
      <c r="A480" s="2">
        <v>53</v>
      </c>
      <c r="B480" s="2" t="s">
        <v>2088</v>
      </c>
      <c r="C480" s="2" t="s">
        <v>56</v>
      </c>
      <c r="D480" s="2" t="s">
        <v>147</v>
      </c>
      <c r="E480" s="2" t="s">
        <v>148</v>
      </c>
      <c r="F480" s="2" t="s">
        <v>59</v>
      </c>
      <c r="G480" s="2">
        <f>91-33-66033000</f>
        <v>-66032942</v>
      </c>
      <c r="H480" s="2"/>
      <c r="I480" s="3" t="s">
        <v>2089</v>
      </c>
      <c r="J480" s="2" t="s">
        <v>2090</v>
      </c>
      <c r="K480" s="2"/>
      <c r="L480" s="2" t="s">
        <v>2091</v>
      </c>
      <c r="M480" s="2"/>
      <c r="N480" s="2"/>
      <c r="O480" s="2"/>
      <c r="P480" s="2" t="s">
        <v>31</v>
      </c>
      <c r="Q480" s="4">
        <v>45971</v>
      </c>
      <c r="R480" s="2"/>
      <c r="S480" s="2">
        <v>1</v>
      </c>
      <c r="T480" s="2" t="s">
        <v>2073</v>
      </c>
      <c r="U480" s="2" t="s">
        <v>34</v>
      </c>
    </row>
    <row r="481" spans="1:21" ht="60" x14ac:dyDescent="0.25">
      <c r="A481" s="2">
        <v>53</v>
      </c>
      <c r="B481" s="2" t="s">
        <v>2092</v>
      </c>
      <c r="C481" s="2" t="s">
        <v>56</v>
      </c>
      <c r="D481" s="2" t="s">
        <v>147</v>
      </c>
      <c r="E481" s="2" t="s">
        <v>148</v>
      </c>
      <c r="F481" s="2" t="s">
        <v>59</v>
      </c>
      <c r="G481" s="2">
        <f>91-33-22831730</f>
        <v>-22831672</v>
      </c>
      <c r="H481" s="3" t="s">
        <v>2093</v>
      </c>
      <c r="I481" s="3" t="s">
        <v>2094</v>
      </c>
      <c r="J481" s="2" t="s">
        <v>148</v>
      </c>
      <c r="K481" s="2"/>
      <c r="L481" s="2" t="s">
        <v>2095</v>
      </c>
      <c r="M481" s="2"/>
      <c r="N481" s="2"/>
      <c r="O481" s="2"/>
      <c r="P481" s="2" t="s">
        <v>31</v>
      </c>
      <c r="Q481" s="4">
        <v>45971</v>
      </c>
      <c r="R481" s="2"/>
      <c r="S481" s="2">
        <v>1</v>
      </c>
      <c r="T481" s="2" t="s">
        <v>2073</v>
      </c>
      <c r="U481" s="2" t="s">
        <v>34</v>
      </c>
    </row>
    <row r="482" spans="1:21" ht="75" x14ac:dyDescent="0.25">
      <c r="A482" s="2">
        <v>53</v>
      </c>
      <c r="B482" s="2" t="s">
        <v>2096</v>
      </c>
      <c r="C482" s="2" t="s">
        <v>56</v>
      </c>
      <c r="D482" s="2" t="s">
        <v>147</v>
      </c>
      <c r="E482" s="2" t="s">
        <v>148</v>
      </c>
      <c r="F482" s="2" t="s">
        <v>59</v>
      </c>
      <c r="G482" s="2">
        <f>91-33-22521000</f>
        <v>-22520942</v>
      </c>
      <c r="H482" s="2"/>
      <c r="I482" s="3" t="s">
        <v>2097</v>
      </c>
      <c r="J482" s="2" t="s">
        <v>148</v>
      </c>
      <c r="K482" s="2"/>
      <c r="L482" s="2" t="s">
        <v>2098</v>
      </c>
      <c r="M482" s="2"/>
      <c r="N482" s="2"/>
      <c r="O482" s="2"/>
      <c r="P482" s="2" t="s">
        <v>31</v>
      </c>
      <c r="Q482" s="4">
        <v>45971</v>
      </c>
      <c r="R482" s="2"/>
      <c r="S482" s="2">
        <v>1</v>
      </c>
      <c r="T482" s="2" t="s">
        <v>2073</v>
      </c>
      <c r="U482" s="2" t="s">
        <v>34</v>
      </c>
    </row>
    <row r="483" spans="1:21" ht="60" x14ac:dyDescent="0.25">
      <c r="A483" s="2">
        <v>53</v>
      </c>
      <c r="B483" s="2" t="s">
        <v>2099</v>
      </c>
      <c r="C483" s="2" t="s">
        <v>56</v>
      </c>
      <c r="D483" s="2" t="s">
        <v>147</v>
      </c>
      <c r="E483" s="2" t="s">
        <v>148</v>
      </c>
      <c r="F483" s="2" t="s">
        <v>59</v>
      </c>
      <c r="G483" s="2">
        <f>91-33-22480281</f>
        <v>-22480223</v>
      </c>
      <c r="H483" s="2"/>
      <c r="I483" s="3" t="s">
        <v>2100</v>
      </c>
      <c r="J483" s="2" t="s">
        <v>148</v>
      </c>
      <c r="K483" s="2"/>
      <c r="L483" s="2" t="s">
        <v>2101</v>
      </c>
      <c r="M483" s="2"/>
      <c r="N483" s="2"/>
      <c r="O483" s="2"/>
      <c r="P483" s="2" t="s">
        <v>31</v>
      </c>
      <c r="Q483" s="4">
        <v>45971</v>
      </c>
      <c r="R483" s="2"/>
      <c r="S483" s="2">
        <v>1</v>
      </c>
      <c r="T483" s="2" t="s">
        <v>2073</v>
      </c>
      <c r="U483" s="2" t="s">
        <v>34</v>
      </c>
    </row>
    <row r="484" spans="1:21" ht="90" x14ac:dyDescent="0.25">
      <c r="A484" s="2">
        <v>53</v>
      </c>
      <c r="B484" s="2" t="s">
        <v>2102</v>
      </c>
      <c r="C484" s="2" t="s">
        <v>315</v>
      </c>
      <c r="D484" s="2" t="s">
        <v>147</v>
      </c>
      <c r="E484" s="2" t="s">
        <v>148</v>
      </c>
      <c r="F484" s="2" t="s">
        <v>59</v>
      </c>
      <c r="G484" s="2">
        <f>91-33-22480200</f>
        <v>-22480142</v>
      </c>
      <c r="H484" s="3" t="s">
        <v>2103</v>
      </c>
      <c r="I484" s="3" t="s">
        <v>2104</v>
      </c>
      <c r="J484" s="2" t="s">
        <v>148</v>
      </c>
      <c r="K484" s="2"/>
      <c r="L484" s="2" t="s">
        <v>2105</v>
      </c>
      <c r="M484" s="2"/>
      <c r="N484" s="2"/>
      <c r="O484" s="2"/>
      <c r="P484" s="2" t="s">
        <v>31</v>
      </c>
      <c r="Q484" s="4">
        <v>45971</v>
      </c>
      <c r="R484" s="2"/>
      <c r="S484" s="2">
        <v>1</v>
      </c>
      <c r="T484" s="2" t="s">
        <v>2073</v>
      </c>
      <c r="U484" s="2" t="s">
        <v>34</v>
      </c>
    </row>
    <row r="485" spans="1:21" ht="105" x14ac:dyDescent="0.25">
      <c r="A485" s="2">
        <v>53</v>
      </c>
      <c r="B485" s="2" t="s">
        <v>2106</v>
      </c>
      <c r="C485" s="2" t="s">
        <v>426</v>
      </c>
      <c r="D485" s="2" t="s">
        <v>147</v>
      </c>
      <c r="E485" s="2" t="s">
        <v>1061</v>
      </c>
      <c r="F485" s="2" t="s">
        <v>655</v>
      </c>
      <c r="G485" s="2"/>
      <c r="H485" s="2"/>
      <c r="I485" s="2"/>
      <c r="J485" s="2" t="s">
        <v>2107</v>
      </c>
      <c r="K485" s="2"/>
      <c r="L485" s="2" t="s">
        <v>2108</v>
      </c>
      <c r="M485" s="2"/>
      <c r="N485" s="2"/>
      <c r="O485" s="2"/>
      <c r="P485" s="2" t="s">
        <v>31</v>
      </c>
      <c r="Q485" s="4">
        <v>45982</v>
      </c>
      <c r="R485" s="2" t="s">
        <v>2109</v>
      </c>
      <c r="S485" s="2">
        <v>1</v>
      </c>
      <c r="T485" s="2" t="s">
        <v>2073</v>
      </c>
      <c r="U485" s="2" t="s">
        <v>34</v>
      </c>
    </row>
    <row r="486" spans="1:21" ht="105" x14ac:dyDescent="0.25">
      <c r="A486" s="2">
        <v>53</v>
      </c>
      <c r="B486" s="2" t="s">
        <v>2110</v>
      </c>
      <c r="C486" s="2" t="s">
        <v>233</v>
      </c>
      <c r="D486" s="2" t="s">
        <v>147</v>
      </c>
      <c r="E486" s="2" t="s">
        <v>148</v>
      </c>
      <c r="F486" s="2" t="s">
        <v>25</v>
      </c>
      <c r="G486" s="2">
        <f>91-33-23356600</f>
        <v>-23356542</v>
      </c>
      <c r="H486" s="2"/>
      <c r="I486" s="2"/>
      <c r="J486" s="2" t="s">
        <v>148</v>
      </c>
      <c r="K486" s="2"/>
      <c r="L486" s="2" t="s">
        <v>2111</v>
      </c>
      <c r="M486" s="2"/>
      <c r="N486" s="2"/>
      <c r="O486" s="2"/>
      <c r="P486" s="2" t="s">
        <v>31</v>
      </c>
      <c r="Q486" s="4">
        <v>45982</v>
      </c>
      <c r="R486" s="2"/>
      <c r="S486" s="2">
        <v>1</v>
      </c>
      <c r="T486" s="2" t="s">
        <v>2073</v>
      </c>
      <c r="U486" s="2" t="s">
        <v>34</v>
      </c>
    </row>
    <row r="487" spans="1:21" ht="45" x14ac:dyDescent="0.25">
      <c r="A487" s="1" t="s">
        <v>0</v>
      </c>
      <c r="B487" s="1" t="s">
        <v>1</v>
      </c>
      <c r="C487" s="1" t="s">
        <v>2</v>
      </c>
      <c r="D487" s="1" t="s">
        <v>3</v>
      </c>
      <c r="E487" s="1" t="s">
        <v>4</v>
      </c>
      <c r="F487" s="1" t="s">
        <v>5</v>
      </c>
      <c r="G487" s="1" t="s">
        <v>6</v>
      </c>
      <c r="H487" s="1" t="s">
        <v>7</v>
      </c>
      <c r="I487" s="1" t="s">
        <v>8</v>
      </c>
      <c r="J487" s="1" t="s">
        <v>9</v>
      </c>
      <c r="K487" s="1" t="s">
        <v>10</v>
      </c>
      <c r="L487" s="1" t="s">
        <v>11</v>
      </c>
      <c r="M487" s="1" t="s">
        <v>12</v>
      </c>
      <c r="N487" s="1" t="s">
        <v>13</v>
      </c>
      <c r="O487" s="1" t="s">
        <v>14</v>
      </c>
      <c r="P487" s="1" t="s">
        <v>15</v>
      </c>
      <c r="Q487" s="1" t="s">
        <v>16</v>
      </c>
      <c r="R487" s="1" t="s">
        <v>17</v>
      </c>
      <c r="S487" s="1" t="s">
        <v>18</v>
      </c>
      <c r="T487" s="1" t="s">
        <v>19</v>
      </c>
      <c r="U487" s="1" t="s">
        <v>20</v>
      </c>
    </row>
    <row r="488" spans="1:21" ht="135" x14ac:dyDescent="0.25">
      <c r="A488" s="2">
        <v>54</v>
      </c>
      <c r="B488" s="2" t="s">
        <v>2112</v>
      </c>
      <c r="C488" s="2" t="s">
        <v>22</v>
      </c>
      <c r="D488" s="2" t="s">
        <v>36</v>
      </c>
      <c r="E488" s="2" t="s">
        <v>526</v>
      </c>
      <c r="F488" s="2" t="s">
        <v>25</v>
      </c>
      <c r="G488" s="2">
        <f>91-22-22841800</f>
        <v>-22841731</v>
      </c>
      <c r="H488" s="3" t="s">
        <v>2113</v>
      </c>
      <c r="I488" s="3" t="s">
        <v>2114</v>
      </c>
      <c r="J488" s="2" t="s">
        <v>526</v>
      </c>
      <c r="K488" s="2"/>
      <c r="L488" s="2"/>
      <c r="M488" s="2" t="s">
        <v>2115</v>
      </c>
      <c r="N488" s="2"/>
      <c r="O488" s="2"/>
      <c r="P488" s="2" t="s">
        <v>31</v>
      </c>
      <c r="Q488" s="4">
        <v>45982</v>
      </c>
      <c r="R488" s="2" t="s">
        <v>2116</v>
      </c>
      <c r="S488" s="2">
        <v>1</v>
      </c>
      <c r="T488" s="2" t="s">
        <v>2117</v>
      </c>
      <c r="U488" s="2" t="s">
        <v>34</v>
      </c>
    </row>
    <row r="489" spans="1:21" ht="120" x14ac:dyDescent="0.25">
      <c r="A489" s="2">
        <v>54</v>
      </c>
      <c r="B489" s="2" t="s">
        <v>2118</v>
      </c>
      <c r="C489" s="2" t="s">
        <v>56</v>
      </c>
      <c r="D489" s="2" t="s">
        <v>36</v>
      </c>
      <c r="E489" s="2" t="s">
        <v>526</v>
      </c>
      <c r="F489" s="2" t="s">
        <v>2119</v>
      </c>
      <c r="G489" s="2">
        <f>91-22-22785000</f>
        <v>-22784931</v>
      </c>
      <c r="H489" s="2"/>
      <c r="I489" s="3" t="s">
        <v>2120</v>
      </c>
      <c r="J489" s="2" t="s">
        <v>2121</v>
      </c>
      <c r="K489" s="2"/>
      <c r="L489" s="2" t="s">
        <v>2122</v>
      </c>
      <c r="M489" s="2"/>
      <c r="N489" s="2"/>
      <c r="O489" s="2"/>
      <c r="P489" s="2" t="s">
        <v>31</v>
      </c>
      <c r="Q489" s="4">
        <v>45971</v>
      </c>
      <c r="R489" s="2"/>
      <c r="S489" s="2">
        <v>1</v>
      </c>
      <c r="T489" s="2" t="s">
        <v>2117</v>
      </c>
      <c r="U489" s="2" t="s">
        <v>34</v>
      </c>
    </row>
    <row r="490" spans="1:21" ht="105" x14ac:dyDescent="0.25">
      <c r="A490" s="2">
        <v>54</v>
      </c>
      <c r="B490" s="2" t="s">
        <v>2123</v>
      </c>
      <c r="C490" s="2" t="s">
        <v>56</v>
      </c>
      <c r="D490" s="2" t="s">
        <v>36</v>
      </c>
      <c r="E490" s="2" t="s">
        <v>1050</v>
      </c>
      <c r="F490" s="2" t="s">
        <v>59</v>
      </c>
      <c r="G490" s="2">
        <f>91-7104-666000</f>
        <v>-673013</v>
      </c>
      <c r="H490" s="2"/>
      <c r="I490" s="3" t="s">
        <v>2124</v>
      </c>
      <c r="J490" s="2" t="s">
        <v>2125</v>
      </c>
      <c r="K490" s="2"/>
      <c r="L490" s="2" t="s">
        <v>2126</v>
      </c>
      <c r="M490" s="2"/>
      <c r="N490" s="2"/>
      <c r="O490" s="2"/>
      <c r="P490" s="2" t="s">
        <v>31</v>
      </c>
      <c r="Q490" s="4">
        <v>45971</v>
      </c>
      <c r="R490" s="2"/>
      <c r="S490" s="2">
        <v>1</v>
      </c>
      <c r="T490" s="2" t="s">
        <v>2117</v>
      </c>
      <c r="U490" s="2" t="s">
        <v>34</v>
      </c>
    </row>
    <row r="491" spans="1:21" ht="105" x14ac:dyDescent="0.25">
      <c r="A491" s="2">
        <v>54</v>
      </c>
      <c r="B491" s="2" t="s">
        <v>2127</v>
      </c>
      <c r="C491" s="2" t="s">
        <v>56</v>
      </c>
      <c r="D491" s="2" t="s">
        <v>153</v>
      </c>
      <c r="E491" s="2" t="s">
        <v>2061</v>
      </c>
      <c r="F491" s="2" t="s">
        <v>59</v>
      </c>
      <c r="G491" s="2">
        <f>91-261-2310000</f>
        <v>-2310170</v>
      </c>
      <c r="H491" s="3" t="s">
        <v>2128</v>
      </c>
      <c r="I491" s="3" t="s">
        <v>2129</v>
      </c>
      <c r="J491" s="2" t="s">
        <v>2061</v>
      </c>
      <c r="K491" s="2"/>
      <c r="L491" s="2" t="s">
        <v>2130</v>
      </c>
      <c r="M491" s="2"/>
      <c r="N491" s="2"/>
      <c r="O491" s="2"/>
      <c r="P491" s="2" t="s">
        <v>31</v>
      </c>
      <c r="Q491" s="4">
        <v>45971</v>
      </c>
      <c r="R491" s="2"/>
      <c r="S491" s="2">
        <v>1</v>
      </c>
      <c r="T491" s="2" t="s">
        <v>2117</v>
      </c>
      <c r="U491" s="2" t="s">
        <v>34</v>
      </c>
    </row>
    <row r="492" spans="1:21" ht="75" x14ac:dyDescent="0.25">
      <c r="A492" s="2">
        <v>54</v>
      </c>
      <c r="B492" s="2" t="s">
        <v>2131</v>
      </c>
      <c r="C492" s="2" t="s">
        <v>56</v>
      </c>
      <c r="D492" s="2" t="s">
        <v>2132</v>
      </c>
      <c r="E492" s="2" t="s">
        <v>2133</v>
      </c>
      <c r="F492" s="2" t="s">
        <v>59</v>
      </c>
      <c r="G492" s="2">
        <f>91-260-2690000</f>
        <v>-2690169</v>
      </c>
      <c r="H492" s="3" t="s">
        <v>2134</v>
      </c>
      <c r="I492" s="3" t="s">
        <v>2135</v>
      </c>
      <c r="J492" s="2" t="s">
        <v>2136</v>
      </c>
      <c r="K492" s="2"/>
      <c r="L492" s="2" t="s">
        <v>2137</v>
      </c>
      <c r="M492" s="2"/>
      <c r="N492" s="2"/>
      <c r="O492" s="2"/>
      <c r="P492" s="2" t="s">
        <v>31</v>
      </c>
      <c r="Q492" s="4">
        <v>45971</v>
      </c>
      <c r="R492" s="2"/>
      <c r="S492" s="2">
        <v>1</v>
      </c>
      <c r="T492" s="2" t="s">
        <v>2117</v>
      </c>
      <c r="U492" s="2" t="s">
        <v>34</v>
      </c>
    </row>
    <row r="493" spans="1:21" ht="90" x14ac:dyDescent="0.25">
      <c r="A493" s="2">
        <v>54</v>
      </c>
      <c r="B493" s="2" t="s">
        <v>2138</v>
      </c>
      <c r="C493" s="2" t="s">
        <v>56</v>
      </c>
      <c r="D493" s="2" t="s">
        <v>2132</v>
      </c>
      <c r="E493" s="2" t="s">
        <v>2133</v>
      </c>
      <c r="F493" s="2" t="s">
        <v>59</v>
      </c>
      <c r="G493" s="2">
        <f>91-260-2690000</f>
        <v>-2690169</v>
      </c>
      <c r="H493" s="2"/>
      <c r="I493" s="3" t="s">
        <v>2139</v>
      </c>
      <c r="J493" s="2" t="s">
        <v>2133</v>
      </c>
      <c r="K493" s="2"/>
      <c r="L493" s="2" t="s">
        <v>2140</v>
      </c>
      <c r="M493" s="2"/>
      <c r="N493" s="2"/>
      <c r="O493" s="2"/>
      <c r="P493" s="2" t="s">
        <v>31</v>
      </c>
      <c r="Q493" s="4">
        <v>45971</v>
      </c>
      <c r="R493" s="2"/>
      <c r="S493" s="2">
        <v>1</v>
      </c>
      <c r="T493" s="2" t="s">
        <v>2117</v>
      </c>
      <c r="U493" s="2" t="s">
        <v>34</v>
      </c>
    </row>
    <row r="494" spans="1:21" ht="75" x14ac:dyDescent="0.25">
      <c r="A494" s="2">
        <v>54</v>
      </c>
      <c r="B494" s="2" t="s">
        <v>2141</v>
      </c>
      <c r="C494" s="2" t="s">
        <v>56</v>
      </c>
      <c r="D494" s="2" t="s">
        <v>153</v>
      </c>
      <c r="E494" s="2" t="s">
        <v>2061</v>
      </c>
      <c r="F494" s="2" t="s">
        <v>59</v>
      </c>
      <c r="G494" s="2">
        <f>91-261-6690000</f>
        <v>-6690170</v>
      </c>
      <c r="H494" s="2"/>
      <c r="I494" s="3" t="s">
        <v>2142</v>
      </c>
      <c r="J494" s="2" t="s">
        <v>2143</v>
      </c>
      <c r="K494" s="2"/>
      <c r="L494" s="2" t="s">
        <v>2144</v>
      </c>
      <c r="M494" s="2"/>
      <c r="N494" s="2"/>
      <c r="O494" s="2"/>
      <c r="P494" s="2" t="s">
        <v>31</v>
      </c>
      <c r="Q494" s="4">
        <v>45971</v>
      </c>
      <c r="R494" s="2"/>
      <c r="S494" s="2">
        <v>1</v>
      </c>
      <c r="T494" s="2" t="s">
        <v>2117</v>
      </c>
      <c r="U494" s="2" t="s">
        <v>34</v>
      </c>
    </row>
    <row r="495" spans="1:21" ht="105" x14ac:dyDescent="0.25">
      <c r="A495" s="2">
        <v>54</v>
      </c>
      <c r="B495" s="2" t="s">
        <v>2145</v>
      </c>
      <c r="C495" s="2" t="s">
        <v>56</v>
      </c>
      <c r="D495" s="2" t="s">
        <v>2132</v>
      </c>
      <c r="E495" s="2" t="s">
        <v>2133</v>
      </c>
      <c r="F495" s="2" t="s">
        <v>59</v>
      </c>
      <c r="G495" s="2">
        <f>91-260-2690000</f>
        <v>-2690169</v>
      </c>
      <c r="H495" s="2"/>
      <c r="I495" s="2"/>
      <c r="J495" s="2" t="s">
        <v>2133</v>
      </c>
      <c r="K495" s="2"/>
      <c r="L495" s="2" t="s">
        <v>2146</v>
      </c>
      <c r="M495" s="2"/>
      <c r="N495" s="2"/>
      <c r="O495" s="2"/>
      <c r="P495" s="2" t="s">
        <v>31</v>
      </c>
      <c r="Q495" s="4">
        <v>45971</v>
      </c>
      <c r="R495" s="2"/>
      <c r="S495" s="2">
        <v>1</v>
      </c>
      <c r="T495" s="2" t="s">
        <v>2117</v>
      </c>
      <c r="U495" s="2" t="s">
        <v>34</v>
      </c>
    </row>
    <row r="496" spans="1:21" ht="105" x14ac:dyDescent="0.25">
      <c r="A496" s="2">
        <v>54</v>
      </c>
      <c r="B496" s="2" t="s">
        <v>2147</v>
      </c>
      <c r="C496" s="2" t="s">
        <v>426</v>
      </c>
      <c r="D496" s="2" t="s">
        <v>153</v>
      </c>
      <c r="E496" s="2" t="s">
        <v>2061</v>
      </c>
      <c r="F496" s="2" t="s">
        <v>655</v>
      </c>
      <c r="G496" s="2"/>
      <c r="H496" s="2"/>
      <c r="I496" s="2"/>
      <c r="J496" s="2" t="s">
        <v>2061</v>
      </c>
      <c r="K496" s="2"/>
      <c r="L496" s="2" t="s">
        <v>2148</v>
      </c>
      <c r="M496" s="2"/>
      <c r="N496" s="2"/>
      <c r="O496" s="2"/>
      <c r="P496" s="2" t="s">
        <v>31</v>
      </c>
      <c r="Q496" s="4">
        <v>45982</v>
      </c>
      <c r="R496" s="2" t="s">
        <v>2149</v>
      </c>
      <c r="S496" s="2">
        <v>1</v>
      </c>
      <c r="T496" s="2" t="s">
        <v>2117</v>
      </c>
      <c r="U496" s="2" t="s">
        <v>34</v>
      </c>
    </row>
    <row r="497" spans="1:21" ht="105" x14ac:dyDescent="0.25">
      <c r="A497" s="2">
        <v>54</v>
      </c>
      <c r="B497" s="2" t="s">
        <v>2150</v>
      </c>
      <c r="C497" s="2" t="s">
        <v>22</v>
      </c>
      <c r="D497" s="2" t="s">
        <v>36</v>
      </c>
      <c r="E497" s="2" t="s">
        <v>526</v>
      </c>
      <c r="F497" s="2" t="s">
        <v>541</v>
      </c>
      <c r="G497" s="2">
        <f>91-22-22844000</f>
        <v>-22843931</v>
      </c>
      <c r="H497" s="2"/>
      <c r="I497" s="3" t="s">
        <v>2151</v>
      </c>
      <c r="J497" s="2" t="s">
        <v>526</v>
      </c>
      <c r="K497" s="2"/>
      <c r="L497" s="2" t="s">
        <v>2152</v>
      </c>
      <c r="M497" s="2"/>
      <c r="N497" s="2"/>
      <c r="O497" s="2"/>
      <c r="P497" s="2" t="s">
        <v>31</v>
      </c>
      <c r="Q497" s="4">
        <v>45982</v>
      </c>
      <c r="R497" s="2"/>
      <c r="S497" s="2">
        <v>1</v>
      </c>
      <c r="T497" s="2" t="s">
        <v>2117</v>
      </c>
      <c r="U497" s="2" t="s">
        <v>34</v>
      </c>
    </row>
    <row r="498" spans="1:21" ht="45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  <c r="M498" s="1" t="s">
        <v>12</v>
      </c>
      <c r="N498" s="1" t="s">
        <v>13</v>
      </c>
      <c r="O498" s="1" t="s">
        <v>14</v>
      </c>
      <c r="P498" s="1" t="s">
        <v>15</v>
      </c>
      <c r="Q498" s="1" t="s">
        <v>16</v>
      </c>
      <c r="R498" s="1" t="s">
        <v>17</v>
      </c>
      <c r="S498" s="1" t="s">
        <v>18</v>
      </c>
      <c r="T498" s="1" t="s">
        <v>19</v>
      </c>
      <c r="U498" s="1" t="s">
        <v>20</v>
      </c>
    </row>
    <row r="499" spans="1:21" ht="135" x14ac:dyDescent="0.25">
      <c r="A499" s="2">
        <v>55</v>
      </c>
      <c r="B499" s="2" t="s">
        <v>2112</v>
      </c>
      <c r="C499" s="2" t="s">
        <v>22</v>
      </c>
      <c r="D499" s="2" t="s">
        <v>36</v>
      </c>
      <c r="E499" s="2" t="s">
        <v>526</v>
      </c>
      <c r="F499" s="2" t="s">
        <v>25</v>
      </c>
      <c r="G499" s="2">
        <f>91-22-22841800</f>
        <v>-22841731</v>
      </c>
      <c r="H499" s="3" t="s">
        <v>2113</v>
      </c>
      <c r="I499" s="3" t="s">
        <v>2114</v>
      </c>
      <c r="J499" s="2" t="s">
        <v>2153</v>
      </c>
      <c r="K499" s="2"/>
      <c r="L499" s="2"/>
      <c r="M499" s="2" t="s">
        <v>2154</v>
      </c>
      <c r="N499" s="2"/>
      <c r="O499" s="2"/>
      <c r="P499" s="2" t="s">
        <v>31</v>
      </c>
      <c r="Q499" s="4">
        <v>45982</v>
      </c>
      <c r="R499" s="2" t="s">
        <v>2155</v>
      </c>
      <c r="S499" s="2">
        <v>1</v>
      </c>
      <c r="T499" s="2" t="s">
        <v>2156</v>
      </c>
      <c r="U499" s="2" t="s">
        <v>34</v>
      </c>
    </row>
    <row r="500" spans="1:21" ht="105" x14ac:dyDescent="0.25">
      <c r="A500" s="2">
        <v>55</v>
      </c>
      <c r="B500" s="2" t="s">
        <v>2157</v>
      </c>
      <c r="C500" s="2" t="s">
        <v>56</v>
      </c>
      <c r="D500" s="2" t="s">
        <v>153</v>
      </c>
      <c r="E500" s="2" t="s">
        <v>2158</v>
      </c>
      <c r="F500" s="2" t="s">
        <v>2119</v>
      </c>
      <c r="G500" s="2">
        <f>91-22-22785000</f>
        <v>-22784931</v>
      </c>
      <c r="H500" s="2"/>
      <c r="I500" s="3" t="s">
        <v>2120</v>
      </c>
      <c r="J500" s="2" t="s">
        <v>2159</v>
      </c>
      <c r="K500" s="2"/>
      <c r="L500" s="2" t="s">
        <v>2160</v>
      </c>
      <c r="M500" s="2"/>
      <c r="N500" s="2"/>
      <c r="O500" s="2"/>
      <c r="P500" s="2" t="s">
        <v>31</v>
      </c>
      <c r="Q500" s="4">
        <v>45971</v>
      </c>
      <c r="R500" s="2"/>
      <c r="S500" s="2">
        <v>1</v>
      </c>
      <c r="T500" s="2" t="s">
        <v>2156</v>
      </c>
      <c r="U500" s="2" t="s">
        <v>34</v>
      </c>
    </row>
    <row r="501" spans="1:21" ht="90" x14ac:dyDescent="0.25">
      <c r="A501" s="2">
        <v>55</v>
      </c>
      <c r="B501" s="2" t="s">
        <v>2161</v>
      </c>
      <c r="C501" s="2" t="s">
        <v>56</v>
      </c>
      <c r="D501" s="2" t="s">
        <v>36</v>
      </c>
      <c r="E501" s="2" t="s">
        <v>1050</v>
      </c>
      <c r="F501" s="2" t="s">
        <v>59</v>
      </c>
      <c r="G501" s="2">
        <f>91-7104-666000</f>
        <v>-673013</v>
      </c>
      <c r="H501" s="2"/>
      <c r="I501" s="3" t="s">
        <v>2124</v>
      </c>
      <c r="J501" s="2" t="s">
        <v>2125</v>
      </c>
      <c r="K501" s="2"/>
      <c r="L501" s="2" t="s">
        <v>2162</v>
      </c>
      <c r="M501" s="2"/>
      <c r="N501" s="2"/>
      <c r="O501" s="2"/>
      <c r="P501" s="2" t="s">
        <v>31</v>
      </c>
      <c r="Q501" s="4">
        <v>45971</v>
      </c>
      <c r="R501" s="2"/>
      <c r="S501" s="2">
        <v>1</v>
      </c>
      <c r="T501" s="2" t="s">
        <v>2156</v>
      </c>
      <c r="U501" s="2" t="s">
        <v>34</v>
      </c>
    </row>
    <row r="502" spans="1:21" ht="60" x14ac:dyDescent="0.25">
      <c r="A502" s="2">
        <v>55</v>
      </c>
      <c r="B502" s="2" t="s">
        <v>2163</v>
      </c>
      <c r="C502" s="2" t="s">
        <v>56</v>
      </c>
      <c r="D502" s="2" t="s">
        <v>841</v>
      </c>
      <c r="E502" s="2" t="s">
        <v>2164</v>
      </c>
      <c r="F502" s="2" t="s">
        <v>59</v>
      </c>
      <c r="G502" s="2">
        <f>91-181-6660000</f>
        <v>-6660090</v>
      </c>
      <c r="H502" s="2"/>
      <c r="I502" s="3" t="s">
        <v>2034</v>
      </c>
      <c r="J502" s="2" t="s">
        <v>2165</v>
      </c>
      <c r="K502" s="2"/>
      <c r="L502" s="2" t="s">
        <v>2166</v>
      </c>
      <c r="M502" s="2"/>
      <c r="N502" s="2"/>
      <c r="O502" s="2"/>
      <c r="P502" s="2" t="s">
        <v>31</v>
      </c>
      <c r="Q502" s="4">
        <v>45971</v>
      </c>
      <c r="R502" s="2"/>
      <c r="S502" s="2">
        <v>1</v>
      </c>
      <c r="T502" s="2" t="s">
        <v>2156</v>
      </c>
      <c r="U502" s="2" t="s">
        <v>34</v>
      </c>
    </row>
    <row r="503" spans="1:21" ht="60" x14ac:dyDescent="0.25">
      <c r="A503" s="2">
        <v>55</v>
      </c>
      <c r="B503" s="2" t="s">
        <v>2167</v>
      </c>
      <c r="C503" s="2" t="s">
        <v>56</v>
      </c>
      <c r="D503" s="2" t="s">
        <v>57</v>
      </c>
      <c r="E503" s="2" t="s">
        <v>2168</v>
      </c>
      <c r="F503" s="2" t="s">
        <v>59</v>
      </c>
      <c r="G503" s="2">
        <f>91-591-2220000</f>
        <v>-2220500</v>
      </c>
      <c r="H503" s="2"/>
      <c r="I503" s="3" t="s">
        <v>2169</v>
      </c>
      <c r="J503" s="2" t="s">
        <v>2170</v>
      </c>
      <c r="K503" s="2"/>
      <c r="L503" s="2" t="s">
        <v>2166</v>
      </c>
      <c r="M503" s="2"/>
      <c r="N503" s="2"/>
      <c r="O503" s="2"/>
      <c r="P503" s="2" t="s">
        <v>31</v>
      </c>
      <c r="Q503" s="4">
        <v>45971</v>
      </c>
      <c r="R503" s="2"/>
      <c r="S503" s="2">
        <v>1</v>
      </c>
      <c r="T503" s="2" t="s">
        <v>2156</v>
      </c>
      <c r="U503" s="2" t="s">
        <v>34</v>
      </c>
    </row>
    <row r="504" spans="1:21" ht="60" x14ac:dyDescent="0.25">
      <c r="A504" s="2">
        <v>55</v>
      </c>
      <c r="B504" s="2" t="s">
        <v>2171</v>
      </c>
      <c r="C504" s="2" t="s">
        <v>56</v>
      </c>
      <c r="D504" s="2" t="s">
        <v>841</v>
      </c>
      <c r="E504" s="2" t="s">
        <v>854</v>
      </c>
      <c r="F504" s="2" t="s">
        <v>59</v>
      </c>
      <c r="G504" s="2">
        <f>91-1672-222000</f>
        <v>-223581</v>
      </c>
      <c r="H504" s="2"/>
      <c r="I504" s="3" t="s">
        <v>2172</v>
      </c>
      <c r="J504" s="2" t="s">
        <v>854</v>
      </c>
      <c r="K504" s="2"/>
      <c r="L504" s="2" t="s">
        <v>2166</v>
      </c>
      <c r="M504" s="2"/>
      <c r="N504" s="2"/>
      <c r="O504" s="2"/>
      <c r="P504" s="2" t="s">
        <v>31</v>
      </c>
      <c r="Q504" s="4">
        <v>45971</v>
      </c>
      <c r="R504" s="2"/>
      <c r="S504" s="2">
        <v>1</v>
      </c>
      <c r="T504" s="2" t="s">
        <v>2156</v>
      </c>
      <c r="U504" s="2" t="s">
        <v>34</v>
      </c>
    </row>
    <row r="505" spans="1:21" ht="135" x14ac:dyDescent="0.25">
      <c r="A505" s="2">
        <v>55</v>
      </c>
      <c r="B505" s="2" t="s">
        <v>2173</v>
      </c>
      <c r="C505" s="2" t="s">
        <v>56</v>
      </c>
      <c r="D505" s="2" t="s">
        <v>370</v>
      </c>
      <c r="E505" s="2" t="s">
        <v>2174</v>
      </c>
      <c r="F505" s="2" t="s">
        <v>59</v>
      </c>
      <c r="G505" s="2">
        <f>91-7366-246000</f>
        <v>-253275</v>
      </c>
      <c r="H505" s="2"/>
      <c r="I505" s="3" t="s">
        <v>2175</v>
      </c>
      <c r="J505" s="2" t="s">
        <v>2176</v>
      </c>
      <c r="K505" s="2"/>
      <c r="L505" s="2" t="s">
        <v>2177</v>
      </c>
      <c r="M505" s="2"/>
      <c r="N505" s="2"/>
      <c r="O505" s="2"/>
      <c r="P505" s="2" t="s">
        <v>31</v>
      </c>
      <c r="Q505" s="4">
        <v>45971</v>
      </c>
      <c r="R505" s="2"/>
      <c r="S505" s="2">
        <v>1</v>
      </c>
      <c r="T505" s="2" t="s">
        <v>2156</v>
      </c>
      <c r="U505" s="2" t="s">
        <v>34</v>
      </c>
    </row>
    <row r="506" spans="1:21" ht="75" x14ac:dyDescent="0.25">
      <c r="A506" s="2">
        <v>55</v>
      </c>
      <c r="B506" s="2" t="s">
        <v>2178</v>
      </c>
      <c r="C506" s="2" t="s">
        <v>56</v>
      </c>
      <c r="D506" s="2" t="s">
        <v>36</v>
      </c>
      <c r="E506" s="2" t="s">
        <v>526</v>
      </c>
      <c r="F506" s="2" t="s">
        <v>1124</v>
      </c>
      <c r="G506" s="2">
        <f>91-22-66620000</f>
        <v>-66619931</v>
      </c>
      <c r="H506" s="2"/>
      <c r="I506" s="3" t="s">
        <v>2179</v>
      </c>
      <c r="J506" s="2" t="s">
        <v>2180</v>
      </c>
      <c r="K506" s="2"/>
      <c r="L506" s="2" t="s">
        <v>2181</v>
      </c>
      <c r="M506" s="2"/>
      <c r="N506" s="2"/>
      <c r="O506" s="2"/>
      <c r="P506" s="2" t="s">
        <v>31</v>
      </c>
      <c r="Q506" s="4">
        <v>45971</v>
      </c>
      <c r="R506" s="2"/>
      <c r="S506" s="2">
        <v>1</v>
      </c>
      <c r="T506" s="2" t="s">
        <v>2156</v>
      </c>
      <c r="U506" s="2" t="s">
        <v>34</v>
      </c>
    </row>
    <row r="507" spans="1:21" ht="60" x14ac:dyDescent="0.25">
      <c r="A507" s="2">
        <v>55</v>
      </c>
      <c r="B507" s="2" t="s">
        <v>2182</v>
      </c>
      <c r="C507" s="2" t="s">
        <v>56</v>
      </c>
      <c r="D507" s="2" t="s">
        <v>36</v>
      </c>
      <c r="E507" s="2" t="s">
        <v>526</v>
      </c>
      <c r="F507" s="2" t="s">
        <v>59</v>
      </c>
      <c r="G507" s="2">
        <f>91-22-22785000</f>
        <v>-22784931</v>
      </c>
      <c r="H507" s="2"/>
      <c r="I507" s="3" t="s">
        <v>2120</v>
      </c>
      <c r="J507" s="2" t="s">
        <v>2183</v>
      </c>
      <c r="K507" s="2"/>
      <c r="L507" s="2" t="s">
        <v>2184</v>
      </c>
      <c r="M507" s="2"/>
      <c r="N507" s="2"/>
      <c r="O507" s="2"/>
      <c r="P507" s="2" t="s">
        <v>31</v>
      </c>
      <c r="Q507" s="4">
        <v>45971</v>
      </c>
      <c r="R507" s="2"/>
      <c r="S507" s="2">
        <v>1</v>
      </c>
      <c r="T507" s="2" t="s">
        <v>2156</v>
      </c>
      <c r="U507" s="2" t="s">
        <v>34</v>
      </c>
    </row>
    <row r="508" spans="1:21" ht="90" x14ac:dyDescent="0.25">
      <c r="A508" s="2">
        <v>55</v>
      </c>
      <c r="B508" s="2" t="s">
        <v>2185</v>
      </c>
      <c r="C508" s="2" t="s">
        <v>426</v>
      </c>
      <c r="D508" s="2" t="s">
        <v>153</v>
      </c>
      <c r="E508" s="2" t="s">
        <v>2061</v>
      </c>
      <c r="F508" s="2" t="s">
        <v>655</v>
      </c>
      <c r="G508" s="2"/>
      <c r="H508" s="2"/>
      <c r="I508" s="2"/>
      <c r="J508" s="2" t="s">
        <v>2061</v>
      </c>
      <c r="K508" s="2"/>
      <c r="L508" s="2" t="s">
        <v>2186</v>
      </c>
      <c r="M508" s="2"/>
      <c r="N508" s="2"/>
      <c r="O508" s="2"/>
      <c r="P508" s="2" t="s">
        <v>31</v>
      </c>
      <c r="Q508" s="4">
        <v>45982</v>
      </c>
      <c r="R508" s="2"/>
      <c r="S508" s="2">
        <v>1</v>
      </c>
      <c r="T508" s="2" t="s">
        <v>2156</v>
      </c>
      <c r="U508" s="2" t="s">
        <v>34</v>
      </c>
    </row>
    <row r="509" spans="1:21" ht="105" x14ac:dyDescent="0.25">
      <c r="A509" s="2">
        <v>55</v>
      </c>
      <c r="B509" s="2" t="s">
        <v>2150</v>
      </c>
      <c r="C509" s="2" t="s">
        <v>22</v>
      </c>
      <c r="D509" s="2" t="s">
        <v>36</v>
      </c>
      <c r="E509" s="2" t="s">
        <v>526</v>
      </c>
      <c r="F509" s="2" t="s">
        <v>541</v>
      </c>
      <c r="G509" s="2">
        <f>91-22-22844000</f>
        <v>-22843931</v>
      </c>
      <c r="H509" s="2"/>
      <c r="I509" s="3" t="s">
        <v>2151</v>
      </c>
      <c r="J509" s="2" t="s">
        <v>526</v>
      </c>
      <c r="K509" s="2"/>
      <c r="L509" s="2" t="s">
        <v>2187</v>
      </c>
      <c r="M509" s="2"/>
      <c r="N509" s="2"/>
      <c r="O509" s="2"/>
      <c r="P509" s="2" t="s">
        <v>31</v>
      </c>
      <c r="Q509" s="4">
        <v>45982</v>
      </c>
      <c r="R509" s="2"/>
      <c r="S509" s="2">
        <v>1</v>
      </c>
      <c r="T509" s="2" t="s">
        <v>2156</v>
      </c>
      <c r="U509" s="2" t="s">
        <v>34</v>
      </c>
    </row>
    <row r="510" spans="1:21" ht="45" x14ac:dyDescent="0.25">
      <c r="A510" s="1" t="s">
        <v>0</v>
      </c>
      <c r="B510" s="1" t="s">
        <v>1</v>
      </c>
      <c r="C510" s="1" t="s">
        <v>2</v>
      </c>
      <c r="D510" s="1" t="s">
        <v>3</v>
      </c>
      <c r="E510" s="1" t="s">
        <v>4</v>
      </c>
      <c r="F510" s="1" t="s">
        <v>5</v>
      </c>
      <c r="G510" s="1" t="s">
        <v>6</v>
      </c>
      <c r="H510" s="1" t="s">
        <v>7</v>
      </c>
      <c r="I510" s="1" t="s">
        <v>8</v>
      </c>
      <c r="J510" s="1" t="s">
        <v>9</v>
      </c>
      <c r="K510" s="1" t="s">
        <v>10</v>
      </c>
      <c r="L510" s="1" t="s">
        <v>11</v>
      </c>
      <c r="M510" s="1" t="s">
        <v>12</v>
      </c>
      <c r="N510" s="1" t="s">
        <v>13</v>
      </c>
      <c r="O510" s="1" t="s">
        <v>14</v>
      </c>
      <c r="P510" s="1" t="s">
        <v>15</v>
      </c>
      <c r="Q510" s="1" t="s">
        <v>16</v>
      </c>
      <c r="R510" s="1" t="s">
        <v>17</v>
      </c>
      <c r="S510" s="1" t="s">
        <v>18</v>
      </c>
      <c r="T510" s="1" t="s">
        <v>19</v>
      </c>
      <c r="U510" s="1" t="s">
        <v>20</v>
      </c>
    </row>
    <row r="511" spans="1:21" ht="135" x14ac:dyDescent="0.25">
      <c r="A511" s="2">
        <v>56</v>
      </c>
      <c r="B511" s="2" t="s">
        <v>2112</v>
      </c>
      <c r="C511" s="2" t="s">
        <v>22</v>
      </c>
      <c r="D511" s="2" t="s">
        <v>36</v>
      </c>
      <c r="E511" s="2" t="s">
        <v>526</v>
      </c>
      <c r="F511" s="2" t="s">
        <v>25</v>
      </c>
      <c r="G511" s="2">
        <f>91-22-22841800</f>
        <v>-22841731</v>
      </c>
      <c r="H511" s="3" t="s">
        <v>2113</v>
      </c>
      <c r="I511" s="3" t="s">
        <v>2114</v>
      </c>
      <c r="J511" s="2" t="s">
        <v>2153</v>
      </c>
      <c r="K511" s="2"/>
      <c r="L511" s="2"/>
      <c r="M511" s="2" t="s">
        <v>2188</v>
      </c>
      <c r="N511" s="2"/>
      <c r="O511" s="2"/>
      <c r="P511" s="2" t="s">
        <v>31</v>
      </c>
      <c r="Q511" s="4">
        <v>45982</v>
      </c>
      <c r="R511" s="2" t="s">
        <v>2189</v>
      </c>
      <c r="S511" s="2">
        <v>1</v>
      </c>
      <c r="T511" s="2" t="s">
        <v>2190</v>
      </c>
      <c r="U511" s="2" t="s">
        <v>34</v>
      </c>
    </row>
    <row r="512" spans="1:21" ht="120" x14ac:dyDescent="0.25">
      <c r="A512" s="2">
        <v>56</v>
      </c>
      <c r="B512" s="2" t="s">
        <v>2191</v>
      </c>
      <c r="C512" s="2" t="s">
        <v>22</v>
      </c>
      <c r="D512" s="2" t="s">
        <v>36</v>
      </c>
      <c r="E512" s="2" t="s">
        <v>526</v>
      </c>
      <c r="F512" s="2" t="s">
        <v>476</v>
      </c>
      <c r="G512" s="2">
        <f>91-22-49741947</f>
        <v>-49741878</v>
      </c>
      <c r="H512" s="3" t="s">
        <v>2192</v>
      </c>
      <c r="I512" s="3" t="s">
        <v>2193</v>
      </c>
      <c r="J512" s="2" t="s">
        <v>526</v>
      </c>
      <c r="K512" s="2"/>
      <c r="L512" s="2"/>
      <c r="M512" s="2"/>
      <c r="N512" s="2"/>
      <c r="O512" s="2"/>
      <c r="P512" s="2" t="s">
        <v>31</v>
      </c>
      <c r="Q512" s="4">
        <v>45982</v>
      </c>
      <c r="R512" s="2" t="s">
        <v>2194</v>
      </c>
      <c r="S512" s="2">
        <v>1</v>
      </c>
      <c r="T512" s="2" t="s">
        <v>2190</v>
      </c>
      <c r="U512" s="2" t="s">
        <v>34</v>
      </c>
    </row>
    <row r="513" spans="1:21" ht="75" x14ac:dyDescent="0.25">
      <c r="A513" s="2">
        <v>56</v>
      </c>
      <c r="B513" s="2" t="s">
        <v>2195</v>
      </c>
      <c r="C513" s="2" t="s">
        <v>56</v>
      </c>
      <c r="D513" s="2" t="s">
        <v>57</v>
      </c>
      <c r="E513" s="2" t="s">
        <v>2196</v>
      </c>
      <c r="F513" s="2" t="s">
        <v>59</v>
      </c>
      <c r="G513" s="2">
        <f>91-1334-244000</f>
        <v>-245243</v>
      </c>
      <c r="H513" s="3" t="s">
        <v>2197</v>
      </c>
      <c r="I513" s="3" t="s">
        <v>2198</v>
      </c>
      <c r="J513" s="2" t="s">
        <v>2199</v>
      </c>
      <c r="K513" s="2"/>
      <c r="L513" s="2" t="s">
        <v>2200</v>
      </c>
      <c r="M513" s="2"/>
      <c r="N513" s="2"/>
      <c r="O513" s="2"/>
      <c r="P513" s="2" t="s">
        <v>31</v>
      </c>
      <c r="Q513" s="4">
        <v>45971</v>
      </c>
      <c r="R513" s="2"/>
      <c r="S513" s="2">
        <v>1</v>
      </c>
      <c r="T513" s="2" t="s">
        <v>2190</v>
      </c>
      <c r="U513" s="2" t="s">
        <v>34</v>
      </c>
    </row>
    <row r="514" spans="1:21" ht="90" x14ac:dyDescent="0.25">
      <c r="A514" s="2">
        <v>56</v>
      </c>
      <c r="B514" s="2" t="s">
        <v>2201</v>
      </c>
      <c r="C514" s="2" t="s">
        <v>56</v>
      </c>
      <c r="D514" s="2" t="s">
        <v>36</v>
      </c>
      <c r="E514" s="2" t="s">
        <v>526</v>
      </c>
      <c r="F514" s="2" t="s">
        <v>59</v>
      </c>
      <c r="G514" s="2">
        <f>91-22-26854000</f>
        <v>-26853931</v>
      </c>
      <c r="H514" s="3" t="s">
        <v>2202</v>
      </c>
      <c r="I514" s="3" t="s">
        <v>2203</v>
      </c>
      <c r="J514" s="2" t="s">
        <v>2204</v>
      </c>
      <c r="K514" s="2"/>
      <c r="L514" s="2" t="s">
        <v>2205</v>
      </c>
      <c r="M514" s="2"/>
      <c r="N514" s="2"/>
      <c r="O514" s="2"/>
      <c r="P514" s="2" t="s">
        <v>31</v>
      </c>
      <c r="Q514" s="4">
        <v>45971</v>
      </c>
      <c r="R514" s="2"/>
      <c r="S514" s="2">
        <v>1</v>
      </c>
      <c r="T514" s="2" t="s">
        <v>2190</v>
      </c>
      <c r="U514" s="2" t="s">
        <v>34</v>
      </c>
    </row>
    <row r="515" spans="1:21" ht="90" x14ac:dyDescent="0.25">
      <c r="A515" s="2">
        <v>56</v>
      </c>
      <c r="B515" s="2" t="s">
        <v>2206</v>
      </c>
      <c r="C515" s="2" t="s">
        <v>56</v>
      </c>
      <c r="D515" s="2" t="s">
        <v>284</v>
      </c>
      <c r="E515" s="2" t="s">
        <v>24</v>
      </c>
      <c r="F515" s="2" t="s">
        <v>59</v>
      </c>
      <c r="G515" s="2">
        <f>91-11-47300000</f>
        <v>-47299920</v>
      </c>
      <c r="H515" s="3" t="s">
        <v>2207</v>
      </c>
      <c r="I515" s="3" t="s">
        <v>2208</v>
      </c>
      <c r="J515" s="2" t="s">
        <v>2209</v>
      </c>
      <c r="K515" s="2"/>
      <c r="L515" s="2" t="s">
        <v>2210</v>
      </c>
      <c r="M515" s="2"/>
      <c r="N515" s="2"/>
      <c r="O515" s="2"/>
      <c r="P515" s="2" t="s">
        <v>31</v>
      </c>
      <c r="Q515" s="4">
        <v>45971</v>
      </c>
      <c r="R515" s="2"/>
      <c r="S515" s="2">
        <v>1</v>
      </c>
      <c r="T515" s="2" t="s">
        <v>2190</v>
      </c>
      <c r="U515" s="2" t="s">
        <v>34</v>
      </c>
    </row>
    <row r="516" spans="1:21" ht="105" x14ac:dyDescent="0.25">
      <c r="A516" s="2">
        <v>56</v>
      </c>
      <c r="B516" s="2" t="s">
        <v>2211</v>
      </c>
      <c r="C516" s="2" t="s">
        <v>56</v>
      </c>
      <c r="D516" s="2" t="s">
        <v>153</v>
      </c>
      <c r="E516" s="2" t="s">
        <v>355</v>
      </c>
      <c r="F516" s="2" t="s">
        <v>59</v>
      </c>
      <c r="G516" s="2">
        <f>91-79-25890000</f>
        <v>-25889988</v>
      </c>
      <c r="H516" s="2"/>
      <c r="I516" s="2"/>
      <c r="J516" s="2" t="s">
        <v>355</v>
      </c>
      <c r="K516" s="2"/>
      <c r="L516" s="2" t="s">
        <v>2212</v>
      </c>
      <c r="M516" s="2"/>
      <c r="N516" s="2"/>
      <c r="O516" s="2"/>
      <c r="P516" s="2" t="s">
        <v>31</v>
      </c>
      <c r="Q516" s="4">
        <v>45971</v>
      </c>
      <c r="R516" s="2"/>
      <c r="S516" s="2">
        <v>1</v>
      </c>
      <c r="T516" s="2" t="s">
        <v>2190</v>
      </c>
      <c r="U516" s="2" t="s">
        <v>34</v>
      </c>
    </row>
    <row r="517" spans="1:21" ht="90" x14ac:dyDescent="0.25">
      <c r="A517" s="2">
        <v>56</v>
      </c>
      <c r="B517" s="2" t="s">
        <v>2213</v>
      </c>
      <c r="C517" s="2" t="s">
        <v>56</v>
      </c>
      <c r="D517" s="2" t="s">
        <v>153</v>
      </c>
      <c r="E517" s="2" t="s">
        <v>355</v>
      </c>
      <c r="F517" s="2" t="s">
        <v>59</v>
      </c>
      <c r="G517" s="2">
        <f>91-79-40050000</f>
        <v>-40049988</v>
      </c>
      <c r="H517" s="3" t="s">
        <v>2214</v>
      </c>
      <c r="I517" s="3" t="s">
        <v>2215</v>
      </c>
      <c r="J517" s="2" t="s">
        <v>355</v>
      </c>
      <c r="K517" s="2"/>
      <c r="L517" s="2" t="s">
        <v>2216</v>
      </c>
      <c r="M517" s="2"/>
      <c r="N517" s="2"/>
      <c r="O517" s="2"/>
      <c r="P517" s="2" t="s">
        <v>31</v>
      </c>
      <c r="Q517" s="4">
        <v>45971</v>
      </c>
      <c r="R517" s="2"/>
      <c r="S517" s="2">
        <v>1</v>
      </c>
      <c r="T517" s="2" t="s">
        <v>2190</v>
      </c>
      <c r="U517" s="2" t="s">
        <v>34</v>
      </c>
    </row>
    <row r="518" spans="1:21" ht="120" x14ac:dyDescent="0.25">
      <c r="A518" s="2">
        <v>56</v>
      </c>
      <c r="B518" s="2" t="s">
        <v>2217</v>
      </c>
      <c r="C518" s="2" t="s">
        <v>426</v>
      </c>
      <c r="D518" s="2" t="s">
        <v>2218</v>
      </c>
      <c r="E518" s="2" t="s">
        <v>2219</v>
      </c>
      <c r="F518" s="2" t="s">
        <v>655</v>
      </c>
      <c r="G518" s="2"/>
      <c r="H518" s="2"/>
      <c r="I518" s="2"/>
      <c r="J518" s="2" t="s">
        <v>2220</v>
      </c>
      <c r="K518" s="2"/>
      <c r="L518" s="2" t="s">
        <v>2221</v>
      </c>
      <c r="M518" s="2"/>
      <c r="N518" s="2"/>
      <c r="O518" s="2"/>
      <c r="P518" s="2" t="s">
        <v>31</v>
      </c>
      <c r="Q518" s="4">
        <v>45982</v>
      </c>
      <c r="R518" s="2"/>
      <c r="S518" s="2">
        <v>1</v>
      </c>
      <c r="T518" s="2" t="s">
        <v>2190</v>
      </c>
      <c r="U518" s="2" t="s">
        <v>34</v>
      </c>
    </row>
    <row r="519" spans="1:21" ht="105" x14ac:dyDescent="0.25">
      <c r="A519" s="2">
        <v>56</v>
      </c>
      <c r="B519" s="2" t="s">
        <v>2222</v>
      </c>
      <c r="C519" s="2" t="s">
        <v>426</v>
      </c>
      <c r="D519" s="2" t="s">
        <v>153</v>
      </c>
      <c r="E519" s="2" t="s">
        <v>355</v>
      </c>
      <c r="F519" s="2" t="s">
        <v>655</v>
      </c>
      <c r="G519" s="2"/>
      <c r="H519" s="2"/>
      <c r="I519" s="2"/>
      <c r="J519" s="2" t="s">
        <v>2223</v>
      </c>
      <c r="K519" s="2"/>
      <c r="L519" s="2" t="s">
        <v>2224</v>
      </c>
      <c r="M519" s="2"/>
      <c r="N519" s="2"/>
      <c r="O519" s="2"/>
      <c r="P519" s="2" t="s">
        <v>31</v>
      </c>
      <c r="Q519" s="4">
        <v>45982</v>
      </c>
      <c r="R519" s="2"/>
      <c r="S519" s="2">
        <v>1</v>
      </c>
      <c r="T519" s="2" t="s">
        <v>2190</v>
      </c>
      <c r="U519" s="2" t="s">
        <v>34</v>
      </c>
    </row>
    <row r="520" spans="1:21" ht="120" x14ac:dyDescent="0.25">
      <c r="A520" s="2">
        <v>56</v>
      </c>
      <c r="B520" s="2" t="s">
        <v>2225</v>
      </c>
      <c r="C520" s="2" t="s">
        <v>119</v>
      </c>
      <c r="D520" s="2" t="s">
        <v>36</v>
      </c>
      <c r="E520" s="2" t="s">
        <v>526</v>
      </c>
      <c r="F520" s="2" t="s">
        <v>49</v>
      </c>
      <c r="G520" s="2">
        <f>91-22-26350101</f>
        <v>-26350032</v>
      </c>
      <c r="H520" s="2"/>
      <c r="I520" s="3" t="s">
        <v>2226</v>
      </c>
      <c r="J520" s="2" t="s">
        <v>2227</v>
      </c>
      <c r="K520" s="2"/>
      <c r="L520" s="2" t="s">
        <v>2228</v>
      </c>
      <c r="M520" s="2"/>
      <c r="N520" s="2"/>
      <c r="O520" s="2"/>
      <c r="P520" s="2" t="s">
        <v>31</v>
      </c>
      <c r="Q520" s="4">
        <v>45982</v>
      </c>
      <c r="R520" s="2"/>
      <c r="S520" s="2">
        <v>1</v>
      </c>
      <c r="T520" s="2" t="s">
        <v>2190</v>
      </c>
      <c r="U520" s="2" t="s">
        <v>34</v>
      </c>
    </row>
    <row r="521" spans="1:21" ht="45" x14ac:dyDescent="0.25">
      <c r="A521" s="1" t="s">
        <v>0</v>
      </c>
      <c r="B521" s="1" t="s">
        <v>1</v>
      </c>
      <c r="C521" s="1" t="s">
        <v>2</v>
      </c>
      <c r="D521" s="1" t="s">
        <v>3</v>
      </c>
      <c r="E521" s="1" t="s">
        <v>4</v>
      </c>
      <c r="F521" s="1" t="s">
        <v>5</v>
      </c>
      <c r="G521" s="1" t="s">
        <v>6</v>
      </c>
      <c r="H521" s="1" t="s">
        <v>7</v>
      </c>
      <c r="I521" s="1" t="s">
        <v>8</v>
      </c>
      <c r="J521" s="1" t="s">
        <v>9</v>
      </c>
      <c r="K521" s="1" t="s">
        <v>10</v>
      </c>
      <c r="L521" s="1" t="s">
        <v>11</v>
      </c>
      <c r="M521" s="1" t="s">
        <v>12</v>
      </c>
      <c r="N521" s="1" t="s">
        <v>13</v>
      </c>
      <c r="O521" s="1" t="s">
        <v>14</v>
      </c>
      <c r="P521" s="1" t="s">
        <v>15</v>
      </c>
      <c r="Q521" s="1" t="s">
        <v>16</v>
      </c>
      <c r="R521" s="1" t="s">
        <v>17</v>
      </c>
      <c r="S521" s="1" t="s">
        <v>18</v>
      </c>
      <c r="T521" s="1" t="s">
        <v>19</v>
      </c>
      <c r="U521" s="1" t="s">
        <v>20</v>
      </c>
    </row>
    <row r="522" spans="1:21" ht="90" x14ac:dyDescent="0.25">
      <c r="A522" s="2">
        <v>57</v>
      </c>
      <c r="B522" s="2" t="s">
        <v>2229</v>
      </c>
      <c r="C522" s="2" t="s">
        <v>22</v>
      </c>
      <c r="D522" s="2" t="s">
        <v>23</v>
      </c>
      <c r="E522" s="2" t="s">
        <v>24</v>
      </c>
      <c r="F522" s="2" t="s">
        <v>897</v>
      </c>
      <c r="G522" s="2">
        <f>91-11-26108109</f>
        <v>-26108029</v>
      </c>
      <c r="H522" s="3" t="s">
        <v>2230</v>
      </c>
      <c r="I522" s="3" t="s">
        <v>2231</v>
      </c>
      <c r="J522" s="2" t="s">
        <v>2232</v>
      </c>
      <c r="K522" s="2"/>
      <c r="L522" s="2"/>
      <c r="M522" s="2" t="s">
        <v>2233</v>
      </c>
      <c r="N522" s="2"/>
      <c r="O522" s="2"/>
      <c r="P522" s="2" t="s">
        <v>31</v>
      </c>
      <c r="Q522" s="4">
        <v>45982</v>
      </c>
      <c r="R522" s="2" t="s">
        <v>2234</v>
      </c>
      <c r="S522" s="2">
        <v>1</v>
      </c>
      <c r="T522" s="2" t="s">
        <v>2235</v>
      </c>
      <c r="U522" s="2" t="s">
        <v>34</v>
      </c>
    </row>
    <row r="523" spans="1:21" ht="105" x14ac:dyDescent="0.25">
      <c r="A523" s="2">
        <v>57</v>
      </c>
      <c r="B523" s="2" t="s">
        <v>2236</v>
      </c>
      <c r="C523" s="2" t="s">
        <v>22</v>
      </c>
      <c r="D523" s="2" t="s">
        <v>57</v>
      </c>
      <c r="E523" s="2" t="s">
        <v>2237</v>
      </c>
      <c r="F523" s="2" t="s">
        <v>38</v>
      </c>
      <c r="G523" s="2">
        <f>91-5414-225574</f>
        <v>-230897</v>
      </c>
      <c r="H523" s="3" t="s">
        <v>2238</v>
      </c>
      <c r="I523" s="3" t="s">
        <v>2231</v>
      </c>
      <c r="J523" s="2" t="s">
        <v>2237</v>
      </c>
      <c r="K523" s="2"/>
      <c r="L523" s="2"/>
      <c r="M523" s="2"/>
      <c r="N523" s="2"/>
      <c r="O523" s="2"/>
      <c r="P523" s="2" t="s">
        <v>31</v>
      </c>
      <c r="Q523" s="4">
        <v>45982</v>
      </c>
      <c r="R523" s="2" t="s">
        <v>2239</v>
      </c>
      <c r="S523" s="2">
        <v>1</v>
      </c>
      <c r="T523" s="2" t="s">
        <v>2235</v>
      </c>
      <c r="U523" s="2" t="s">
        <v>34</v>
      </c>
    </row>
    <row r="524" spans="1:21" ht="120" x14ac:dyDescent="0.25">
      <c r="A524" s="2">
        <v>57</v>
      </c>
      <c r="B524" s="2" t="s">
        <v>2240</v>
      </c>
      <c r="C524" s="2" t="s">
        <v>56</v>
      </c>
      <c r="D524" s="2" t="s">
        <v>57</v>
      </c>
      <c r="E524" s="2" t="s">
        <v>2241</v>
      </c>
      <c r="F524" s="2" t="s">
        <v>59</v>
      </c>
      <c r="G524" s="2">
        <f>91-5442-220000</f>
        <v>-225351</v>
      </c>
      <c r="H524" s="3" t="s">
        <v>2242</v>
      </c>
      <c r="I524" s="3" t="s">
        <v>2243</v>
      </c>
      <c r="J524" s="2" t="s">
        <v>2241</v>
      </c>
      <c r="K524" s="2"/>
      <c r="L524" s="2" t="s">
        <v>2244</v>
      </c>
      <c r="M524" s="2"/>
      <c r="N524" s="2"/>
      <c r="O524" s="2"/>
      <c r="P524" s="2" t="s">
        <v>31</v>
      </c>
      <c r="Q524" s="4">
        <v>45971</v>
      </c>
      <c r="R524" s="2"/>
      <c r="S524" s="2">
        <v>1</v>
      </c>
      <c r="T524" s="2" t="s">
        <v>2235</v>
      </c>
      <c r="U524" s="2" t="s">
        <v>34</v>
      </c>
    </row>
    <row r="525" spans="1:21" ht="105" x14ac:dyDescent="0.25">
      <c r="A525" s="2">
        <v>57</v>
      </c>
      <c r="B525" s="2" t="s">
        <v>2245</v>
      </c>
      <c r="C525" s="2" t="s">
        <v>56</v>
      </c>
      <c r="D525" s="2" t="s">
        <v>970</v>
      </c>
      <c r="E525" s="2" t="s">
        <v>1995</v>
      </c>
      <c r="F525" s="2" t="s">
        <v>59</v>
      </c>
      <c r="G525" s="2">
        <f>91-141-3984400</f>
        <v>-3984450</v>
      </c>
      <c r="H525" s="3" t="s">
        <v>2246</v>
      </c>
      <c r="I525" s="3" t="s">
        <v>2247</v>
      </c>
      <c r="J525" s="2" t="s">
        <v>1995</v>
      </c>
      <c r="K525" s="2"/>
      <c r="L525" s="2" t="s">
        <v>2248</v>
      </c>
      <c r="M525" s="2"/>
      <c r="N525" s="2"/>
      <c r="O525" s="2"/>
      <c r="P525" s="2" t="s">
        <v>31</v>
      </c>
      <c r="Q525" s="4">
        <v>45971</v>
      </c>
      <c r="R525" s="2"/>
      <c r="S525" s="2">
        <v>1</v>
      </c>
      <c r="T525" s="2" t="s">
        <v>2235</v>
      </c>
      <c r="U525" s="2" t="s">
        <v>34</v>
      </c>
    </row>
    <row r="526" spans="1:21" ht="75" x14ac:dyDescent="0.25">
      <c r="A526" s="2">
        <v>57</v>
      </c>
      <c r="B526" s="2" t="s">
        <v>2249</v>
      </c>
      <c r="C526" s="2" t="s">
        <v>56</v>
      </c>
      <c r="D526" s="2" t="s">
        <v>57</v>
      </c>
      <c r="E526" s="2" t="s">
        <v>2237</v>
      </c>
      <c r="F526" s="2" t="s">
        <v>59</v>
      </c>
      <c r="G526" s="2">
        <f>91-5414-224000</f>
        <v>-229323</v>
      </c>
      <c r="H526" s="3" t="s">
        <v>2250</v>
      </c>
      <c r="I526" s="3" t="s">
        <v>2251</v>
      </c>
      <c r="J526" s="2" t="s">
        <v>2237</v>
      </c>
      <c r="K526" s="2"/>
      <c r="L526" s="2" t="s">
        <v>2252</v>
      </c>
      <c r="M526" s="2"/>
      <c r="N526" s="2"/>
      <c r="O526" s="2"/>
      <c r="P526" s="2" t="s">
        <v>31</v>
      </c>
      <c r="Q526" s="4">
        <v>45971</v>
      </c>
      <c r="R526" s="2"/>
      <c r="S526" s="2">
        <v>1</v>
      </c>
      <c r="T526" s="2" t="s">
        <v>2235</v>
      </c>
      <c r="U526" s="2" t="s">
        <v>34</v>
      </c>
    </row>
    <row r="527" spans="1:21" ht="90" x14ac:dyDescent="0.25">
      <c r="A527" s="2">
        <v>57</v>
      </c>
      <c r="B527" s="2" t="s">
        <v>2253</v>
      </c>
      <c r="C527" s="2" t="s">
        <v>56</v>
      </c>
      <c r="D527" s="2" t="s">
        <v>2254</v>
      </c>
      <c r="E527" s="2" t="s">
        <v>2255</v>
      </c>
      <c r="F527" s="2" t="s">
        <v>59</v>
      </c>
      <c r="G527" s="2">
        <f>91-194-2460000</f>
        <v>-2460103</v>
      </c>
      <c r="H527" s="2"/>
      <c r="I527" s="3" t="s">
        <v>2256</v>
      </c>
      <c r="J527" s="2" t="s">
        <v>2255</v>
      </c>
      <c r="K527" s="2"/>
      <c r="L527" s="2" t="s">
        <v>2257</v>
      </c>
      <c r="M527" s="2"/>
      <c r="N527" s="2"/>
      <c r="O527" s="2"/>
      <c r="P527" s="2" t="s">
        <v>31</v>
      </c>
      <c r="Q527" s="4">
        <v>45971</v>
      </c>
      <c r="R527" s="2"/>
      <c r="S527" s="2">
        <v>1</v>
      </c>
      <c r="T527" s="2" t="s">
        <v>2235</v>
      </c>
      <c r="U527" s="2" t="s">
        <v>34</v>
      </c>
    </row>
    <row r="528" spans="1:21" ht="75" x14ac:dyDescent="0.25">
      <c r="A528" s="2">
        <v>57</v>
      </c>
      <c r="B528" s="2" t="s">
        <v>2258</v>
      </c>
      <c r="C528" s="2" t="s">
        <v>56</v>
      </c>
      <c r="D528" s="2" t="s">
        <v>57</v>
      </c>
      <c r="E528" s="2" t="s">
        <v>2259</v>
      </c>
      <c r="F528" s="2" t="s">
        <v>59</v>
      </c>
      <c r="G528" s="2">
        <f>91-562-2260000</f>
        <v>-2260471</v>
      </c>
      <c r="H528" s="2"/>
      <c r="I528" s="2"/>
      <c r="J528" s="2" t="s">
        <v>2259</v>
      </c>
      <c r="K528" s="2"/>
      <c r="L528" s="2" t="s">
        <v>2260</v>
      </c>
      <c r="M528" s="2"/>
      <c r="N528" s="2"/>
      <c r="O528" s="2"/>
      <c r="P528" s="2" t="s">
        <v>31</v>
      </c>
      <c r="Q528" s="4">
        <v>45971</v>
      </c>
      <c r="R528" s="2"/>
      <c r="S528" s="2">
        <v>1</v>
      </c>
      <c r="T528" s="2" t="s">
        <v>2235</v>
      </c>
      <c r="U528" s="2" t="s">
        <v>34</v>
      </c>
    </row>
    <row r="529" spans="1:21" ht="90" x14ac:dyDescent="0.25">
      <c r="A529" s="2">
        <v>57</v>
      </c>
      <c r="B529" s="2" t="s">
        <v>2261</v>
      </c>
      <c r="C529" s="2" t="s">
        <v>56</v>
      </c>
      <c r="D529" s="2" t="s">
        <v>57</v>
      </c>
      <c r="E529" s="2" t="s">
        <v>2237</v>
      </c>
      <c r="F529" s="2" t="s">
        <v>59</v>
      </c>
      <c r="G529" s="2">
        <f>91-5414-225000</f>
        <v>-230323</v>
      </c>
      <c r="H529" s="2"/>
      <c r="I529" s="3" t="s">
        <v>2262</v>
      </c>
      <c r="J529" s="2" t="s">
        <v>2237</v>
      </c>
      <c r="K529" s="2"/>
      <c r="L529" s="2" t="s">
        <v>2263</v>
      </c>
      <c r="M529" s="2"/>
      <c r="N529" s="2"/>
      <c r="O529" s="2"/>
      <c r="P529" s="2" t="s">
        <v>31</v>
      </c>
      <c r="Q529" s="4">
        <v>45971</v>
      </c>
      <c r="R529" s="2"/>
      <c r="S529" s="2">
        <v>1</v>
      </c>
      <c r="T529" s="2" t="s">
        <v>2235</v>
      </c>
      <c r="U529" s="2" t="s">
        <v>34</v>
      </c>
    </row>
    <row r="530" spans="1:21" ht="90" x14ac:dyDescent="0.25">
      <c r="A530" s="2">
        <v>57</v>
      </c>
      <c r="B530" s="2" t="s">
        <v>2264</v>
      </c>
      <c r="C530" s="2" t="s">
        <v>426</v>
      </c>
      <c r="D530" s="2" t="s">
        <v>57</v>
      </c>
      <c r="E530" s="2" t="s">
        <v>2265</v>
      </c>
      <c r="F530" s="2" t="s">
        <v>655</v>
      </c>
      <c r="G530" s="2"/>
      <c r="H530" s="2"/>
      <c r="I530" s="2"/>
      <c r="J530" s="2" t="s">
        <v>2266</v>
      </c>
      <c r="K530" s="2"/>
      <c r="L530" s="2" t="s">
        <v>2267</v>
      </c>
      <c r="M530" s="2"/>
      <c r="N530" s="2"/>
      <c r="O530" s="2"/>
      <c r="P530" s="2" t="s">
        <v>31</v>
      </c>
      <c r="Q530" s="4">
        <v>45982</v>
      </c>
      <c r="R530" s="2" t="s">
        <v>2268</v>
      </c>
      <c r="S530" s="2">
        <v>1</v>
      </c>
      <c r="T530" s="2" t="s">
        <v>2235</v>
      </c>
      <c r="U530" s="2" t="s">
        <v>34</v>
      </c>
    </row>
    <row r="531" spans="1:21" ht="90" x14ac:dyDescent="0.25">
      <c r="A531" s="2">
        <v>57</v>
      </c>
      <c r="B531" s="2" t="s">
        <v>2269</v>
      </c>
      <c r="C531" s="2" t="s">
        <v>426</v>
      </c>
      <c r="D531" s="2" t="s">
        <v>321</v>
      </c>
      <c r="E531" s="2" t="s">
        <v>2270</v>
      </c>
      <c r="F531" s="2" t="s">
        <v>655</v>
      </c>
      <c r="G531" s="2"/>
      <c r="H531" s="2"/>
      <c r="I531" s="2"/>
      <c r="J531" s="2" t="s">
        <v>2270</v>
      </c>
      <c r="K531" s="2"/>
      <c r="L531" s="2" t="s">
        <v>2271</v>
      </c>
      <c r="M531" s="2"/>
      <c r="N531" s="2"/>
      <c r="O531" s="2"/>
      <c r="P531" s="2" t="s">
        <v>31</v>
      </c>
      <c r="Q531" s="4">
        <v>45982</v>
      </c>
      <c r="R531" s="2"/>
      <c r="S531" s="2">
        <v>1</v>
      </c>
      <c r="T531" s="2" t="s">
        <v>2235</v>
      </c>
      <c r="U531" s="2" t="s">
        <v>34</v>
      </c>
    </row>
    <row r="532" spans="1:21" ht="105" x14ac:dyDescent="0.25">
      <c r="A532" s="2">
        <v>57</v>
      </c>
      <c r="B532" s="2" t="s">
        <v>2272</v>
      </c>
      <c r="C532" s="2" t="s">
        <v>119</v>
      </c>
      <c r="D532" s="2" t="s">
        <v>57</v>
      </c>
      <c r="E532" s="2" t="s">
        <v>2237</v>
      </c>
      <c r="F532" s="2" t="s">
        <v>49</v>
      </c>
      <c r="G532" s="2">
        <f>91-5414-225504</f>
        <v>-230827</v>
      </c>
      <c r="H532" s="3" t="s">
        <v>2273</v>
      </c>
      <c r="I532" s="3" t="s">
        <v>2274</v>
      </c>
      <c r="J532" s="2" t="s">
        <v>2237</v>
      </c>
      <c r="K532" s="2"/>
      <c r="L532" s="2" t="s">
        <v>2275</v>
      </c>
      <c r="M532" s="2"/>
      <c r="N532" s="2"/>
      <c r="O532" s="2"/>
      <c r="P532" s="2" t="s">
        <v>31</v>
      </c>
      <c r="Q532" s="4">
        <v>45982</v>
      </c>
      <c r="R532" s="2"/>
      <c r="S532" s="2">
        <v>1</v>
      </c>
      <c r="T532" s="2" t="s">
        <v>2235</v>
      </c>
      <c r="U532" s="2" t="s">
        <v>34</v>
      </c>
    </row>
    <row r="533" spans="1:21" ht="45" x14ac:dyDescent="0.25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1" t="s">
        <v>5</v>
      </c>
      <c r="G533" s="1" t="s">
        <v>6</v>
      </c>
      <c r="H533" s="1" t="s">
        <v>7</v>
      </c>
      <c r="I533" s="1" t="s">
        <v>8</v>
      </c>
      <c r="J533" s="1" t="s">
        <v>9</v>
      </c>
      <c r="K533" s="1" t="s">
        <v>10</v>
      </c>
      <c r="L533" s="1" t="s">
        <v>11</v>
      </c>
      <c r="M533" s="1" t="s">
        <v>12</v>
      </c>
      <c r="N533" s="1" t="s">
        <v>13</v>
      </c>
      <c r="O533" s="1" t="s">
        <v>14</v>
      </c>
      <c r="P533" s="1" t="s">
        <v>15</v>
      </c>
      <c r="Q533" s="1" t="s">
        <v>16</v>
      </c>
      <c r="R533" s="1" t="s">
        <v>17</v>
      </c>
      <c r="S533" s="1" t="s">
        <v>18</v>
      </c>
      <c r="T533" s="1" t="s">
        <v>19</v>
      </c>
      <c r="U533" s="1" t="s">
        <v>20</v>
      </c>
    </row>
    <row r="534" spans="1:21" ht="150" x14ac:dyDescent="0.25">
      <c r="A534" s="2">
        <v>58</v>
      </c>
      <c r="B534" s="2" t="s">
        <v>2276</v>
      </c>
      <c r="C534" s="2" t="s">
        <v>233</v>
      </c>
      <c r="D534" s="2" t="s">
        <v>36</v>
      </c>
      <c r="E534" s="2" t="s">
        <v>526</v>
      </c>
      <c r="F534" s="2" t="s">
        <v>541</v>
      </c>
      <c r="G534" s="2">
        <f>91-22-66527500</f>
        <v>-66527431</v>
      </c>
      <c r="H534" s="3" t="s">
        <v>2022</v>
      </c>
      <c r="I534" s="3" t="s">
        <v>2023</v>
      </c>
      <c r="J534" s="2" t="s">
        <v>526</v>
      </c>
      <c r="K534" s="2"/>
      <c r="L534" s="2"/>
      <c r="M534" s="2" t="s">
        <v>2277</v>
      </c>
      <c r="N534" s="2"/>
      <c r="O534" s="2"/>
      <c r="P534" s="2" t="s">
        <v>31</v>
      </c>
      <c r="Q534" s="4">
        <v>45982</v>
      </c>
      <c r="R534" s="2" t="s">
        <v>2278</v>
      </c>
      <c r="S534" s="2">
        <v>1</v>
      </c>
      <c r="T534" s="2" t="s">
        <v>1495</v>
      </c>
      <c r="U534" s="2" t="s">
        <v>34</v>
      </c>
    </row>
    <row r="535" spans="1:21" ht="150" x14ac:dyDescent="0.25">
      <c r="A535" s="2">
        <v>58</v>
      </c>
      <c r="B535" s="2" t="s">
        <v>2279</v>
      </c>
      <c r="C535" s="2" t="s">
        <v>22</v>
      </c>
      <c r="D535" s="2" t="s">
        <v>36</v>
      </c>
      <c r="E535" s="2" t="s">
        <v>526</v>
      </c>
      <c r="F535" s="2" t="s">
        <v>25</v>
      </c>
      <c r="G535" s="2">
        <f>91-22-22041800</f>
        <v>-22041731</v>
      </c>
      <c r="H535" s="3" t="s">
        <v>2280</v>
      </c>
      <c r="I535" s="3" t="s">
        <v>2281</v>
      </c>
      <c r="J535" s="2" t="s">
        <v>526</v>
      </c>
      <c r="K535" s="2"/>
      <c r="L535" s="2"/>
      <c r="M535" s="2" t="s">
        <v>2282</v>
      </c>
      <c r="N535" s="2"/>
      <c r="O535" s="2"/>
      <c r="P535" s="2" t="s">
        <v>31</v>
      </c>
      <c r="Q535" s="4">
        <v>45982</v>
      </c>
      <c r="R535" s="2"/>
      <c r="S535" s="2">
        <v>1</v>
      </c>
      <c r="T535" s="2" t="s">
        <v>1495</v>
      </c>
      <c r="U535" s="2" t="s">
        <v>34</v>
      </c>
    </row>
    <row r="536" spans="1:21" ht="135" x14ac:dyDescent="0.25">
      <c r="A536" s="2">
        <v>58</v>
      </c>
      <c r="B536" s="2" t="s">
        <v>2283</v>
      </c>
      <c r="C536" s="2" t="s">
        <v>426</v>
      </c>
      <c r="D536" s="2" t="s">
        <v>57</v>
      </c>
      <c r="E536" s="2" t="s">
        <v>558</v>
      </c>
      <c r="F536" s="2" t="s">
        <v>655</v>
      </c>
      <c r="G536" s="2"/>
      <c r="H536" s="2"/>
      <c r="I536" s="2"/>
      <c r="J536" s="2" t="s">
        <v>558</v>
      </c>
      <c r="K536" s="2"/>
      <c r="L536" s="2" t="s">
        <v>2284</v>
      </c>
      <c r="M536" s="2"/>
      <c r="N536" s="2"/>
      <c r="O536" s="2"/>
      <c r="P536" s="2" t="s">
        <v>31</v>
      </c>
      <c r="Q536" s="4">
        <v>45982</v>
      </c>
      <c r="R536" s="2" t="s">
        <v>2285</v>
      </c>
      <c r="S536" s="2">
        <v>1</v>
      </c>
      <c r="T536" s="2" t="s">
        <v>1495</v>
      </c>
      <c r="U536" s="2" t="s">
        <v>34</v>
      </c>
    </row>
    <row r="537" spans="1:21" ht="90" x14ac:dyDescent="0.25">
      <c r="A537" s="2">
        <v>58</v>
      </c>
      <c r="B537" s="2" t="s">
        <v>2286</v>
      </c>
      <c r="C537" s="2" t="s">
        <v>426</v>
      </c>
      <c r="D537" s="2" t="s">
        <v>153</v>
      </c>
      <c r="E537" s="2" t="s">
        <v>2061</v>
      </c>
      <c r="F537" s="2" t="s">
        <v>655</v>
      </c>
      <c r="G537" s="2"/>
      <c r="H537" s="2"/>
      <c r="I537" s="2"/>
      <c r="J537" s="2" t="s">
        <v>2061</v>
      </c>
      <c r="K537" s="2"/>
      <c r="L537" s="2" t="s">
        <v>2287</v>
      </c>
      <c r="M537" s="2"/>
      <c r="N537" s="2"/>
      <c r="O537" s="2"/>
      <c r="P537" s="2" t="s">
        <v>31</v>
      </c>
      <c r="Q537" s="4">
        <v>45982</v>
      </c>
      <c r="R537" s="2" t="s">
        <v>2288</v>
      </c>
      <c r="S537" s="2">
        <v>1</v>
      </c>
      <c r="T537" s="2" t="s">
        <v>1495</v>
      </c>
      <c r="U537" s="2" t="s">
        <v>34</v>
      </c>
    </row>
    <row r="538" spans="1:21" ht="75" x14ac:dyDescent="0.25">
      <c r="A538" s="2">
        <v>58</v>
      </c>
      <c r="B538" s="2" t="s">
        <v>2289</v>
      </c>
      <c r="C538" s="2" t="s">
        <v>426</v>
      </c>
      <c r="D538" s="2" t="s">
        <v>36</v>
      </c>
      <c r="E538" s="2" t="s">
        <v>78</v>
      </c>
      <c r="F538" s="2" t="s">
        <v>655</v>
      </c>
      <c r="G538" s="2"/>
      <c r="H538" s="2"/>
      <c r="I538" s="2"/>
      <c r="J538" s="2" t="s">
        <v>78</v>
      </c>
      <c r="K538" s="2"/>
      <c r="L538" s="2" t="s">
        <v>2290</v>
      </c>
      <c r="M538" s="2"/>
      <c r="N538" s="2"/>
      <c r="O538" s="2"/>
      <c r="P538" s="2" t="s">
        <v>31</v>
      </c>
      <c r="Q538" s="4">
        <v>45982</v>
      </c>
      <c r="R538" s="2"/>
      <c r="S538" s="2">
        <v>1</v>
      </c>
      <c r="T538" s="2" t="s">
        <v>1495</v>
      </c>
      <c r="U538" s="2" t="s">
        <v>34</v>
      </c>
    </row>
    <row r="539" spans="1:21" ht="75" x14ac:dyDescent="0.25">
      <c r="A539" s="2">
        <v>58</v>
      </c>
      <c r="B539" s="2" t="s">
        <v>2291</v>
      </c>
      <c r="C539" s="2" t="s">
        <v>56</v>
      </c>
      <c r="D539" s="2" t="s">
        <v>153</v>
      </c>
      <c r="E539" s="2" t="s">
        <v>2061</v>
      </c>
      <c r="F539" s="2" t="s">
        <v>59</v>
      </c>
      <c r="G539" s="2">
        <f>91-261-2320000</f>
        <v>-2320170</v>
      </c>
      <c r="H539" s="3" t="s">
        <v>2292</v>
      </c>
      <c r="I539" s="2"/>
      <c r="J539" s="2" t="s">
        <v>2061</v>
      </c>
      <c r="K539" s="2"/>
      <c r="L539" s="2" t="s">
        <v>2293</v>
      </c>
      <c r="M539" s="2"/>
      <c r="N539" s="2"/>
      <c r="O539" s="2"/>
      <c r="P539" s="2" t="s">
        <v>31</v>
      </c>
      <c r="Q539" s="4">
        <v>45971</v>
      </c>
      <c r="R539" s="2"/>
      <c r="S539" s="2">
        <v>1</v>
      </c>
      <c r="T539" s="2" t="s">
        <v>1495</v>
      </c>
      <c r="U539" s="2" t="s">
        <v>34</v>
      </c>
    </row>
    <row r="540" spans="1:21" ht="75" x14ac:dyDescent="0.25">
      <c r="A540" s="2">
        <v>58</v>
      </c>
      <c r="B540" s="2" t="s">
        <v>2294</v>
      </c>
      <c r="C540" s="2" t="s">
        <v>56</v>
      </c>
      <c r="D540" s="2" t="s">
        <v>36</v>
      </c>
      <c r="E540" s="2" t="s">
        <v>526</v>
      </c>
      <c r="F540" s="2" t="s">
        <v>59</v>
      </c>
      <c r="G540" s="2">
        <f>91-22-61055000</f>
        <v>-61054931</v>
      </c>
      <c r="H540" s="3" t="s">
        <v>2295</v>
      </c>
      <c r="I540" s="3" t="s">
        <v>2296</v>
      </c>
      <c r="J540" s="2" t="s">
        <v>2297</v>
      </c>
      <c r="K540" s="2"/>
      <c r="L540" s="2" t="s">
        <v>2298</v>
      </c>
      <c r="M540" s="2"/>
      <c r="N540" s="2"/>
      <c r="O540" s="2"/>
      <c r="P540" s="2" t="s">
        <v>31</v>
      </c>
      <c r="Q540" s="4">
        <v>45971</v>
      </c>
      <c r="R540" s="2"/>
      <c r="S540" s="2">
        <v>1</v>
      </c>
      <c r="T540" s="2" t="s">
        <v>1495</v>
      </c>
      <c r="U540" s="2" t="s">
        <v>34</v>
      </c>
    </row>
    <row r="541" spans="1:21" ht="60" x14ac:dyDescent="0.25">
      <c r="A541" s="2">
        <v>58</v>
      </c>
      <c r="B541" s="2" t="s">
        <v>2299</v>
      </c>
      <c r="C541" s="2" t="s">
        <v>56</v>
      </c>
      <c r="D541" s="2" t="s">
        <v>153</v>
      </c>
      <c r="E541" s="2" t="s">
        <v>355</v>
      </c>
      <c r="F541" s="2" t="s">
        <v>59</v>
      </c>
      <c r="G541" s="2">
        <f>91-79-25890000</f>
        <v>-25889988</v>
      </c>
      <c r="H541" s="2"/>
      <c r="I541" s="2"/>
      <c r="J541" s="2" t="s">
        <v>355</v>
      </c>
      <c r="K541" s="2"/>
      <c r="L541" s="2" t="s">
        <v>2300</v>
      </c>
      <c r="M541" s="2"/>
      <c r="N541" s="2"/>
      <c r="O541" s="2"/>
      <c r="P541" s="2" t="s">
        <v>31</v>
      </c>
      <c r="Q541" s="4">
        <v>45971</v>
      </c>
      <c r="R541" s="2"/>
      <c r="S541" s="2">
        <v>1</v>
      </c>
      <c r="T541" s="2" t="s">
        <v>1495</v>
      </c>
      <c r="U541" s="2" t="s">
        <v>34</v>
      </c>
    </row>
    <row r="542" spans="1:21" ht="60" x14ac:dyDescent="0.25">
      <c r="A542" s="2">
        <v>58</v>
      </c>
      <c r="B542" s="2" t="s">
        <v>2301</v>
      </c>
      <c r="C542" s="2" t="s">
        <v>56</v>
      </c>
      <c r="D542" s="2" t="s">
        <v>284</v>
      </c>
      <c r="E542" s="2" t="s">
        <v>24</v>
      </c>
      <c r="F542" s="2" t="s">
        <v>59</v>
      </c>
      <c r="G542" s="2">
        <f>91-11-41500000</f>
        <v>-41499920</v>
      </c>
      <c r="H542" s="2"/>
      <c r="I542" s="2"/>
      <c r="J542" s="2" t="s">
        <v>2209</v>
      </c>
      <c r="K542" s="2"/>
      <c r="L542" s="2" t="s">
        <v>2302</v>
      </c>
      <c r="M542" s="2"/>
      <c r="N542" s="2"/>
      <c r="O542" s="2"/>
      <c r="P542" s="2" t="s">
        <v>31</v>
      </c>
      <c r="Q542" s="4">
        <v>45971</v>
      </c>
      <c r="R542" s="2"/>
      <c r="S542" s="2">
        <v>1</v>
      </c>
      <c r="T542" s="2" t="s">
        <v>1495</v>
      </c>
      <c r="U542" s="2" t="s">
        <v>34</v>
      </c>
    </row>
    <row r="543" spans="1:21" ht="135" x14ac:dyDescent="0.25">
      <c r="A543" s="2">
        <v>58</v>
      </c>
      <c r="B543" s="2" t="s">
        <v>2303</v>
      </c>
      <c r="C543" s="2" t="s">
        <v>119</v>
      </c>
      <c r="D543" s="2" t="s">
        <v>23</v>
      </c>
      <c r="E543" s="2" t="s">
        <v>24</v>
      </c>
      <c r="F543" s="2" t="s">
        <v>49</v>
      </c>
      <c r="G543" s="2">
        <f>91-11-26542000</f>
        <v>-26541920</v>
      </c>
      <c r="H543" s="2"/>
      <c r="I543" s="3" t="s">
        <v>2304</v>
      </c>
      <c r="J543" s="2" t="s">
        <v>2305</v>
      </c>
      <c r="K543" s="2"/>
      <c r="L543" s="2" t="s">
        <v>2306</v>
      </c>
      <c r="M543" s="2"/>
      <c r="N543" s="2"/>
      <c r="O543" s="2"/>
      <c r="P543" s="2" t="s">
        <v>31</v>
      </c>
      <c r="Q543" s="4">
        <v>45982</v>
      </c>
      <c r="R543" s="2"/>
      <c r="S543" s="2">
        <v>1</v>
      </c>
      <c r="T543" s="2" t="s">
        <v>1495</v>
      </c>
      <c r="U543" s="2" t="s">
        <v>34</v>
      </c>
    </row>
    <row r="544" spans="1:21" ht="45" x14ac:dyDescent="0.25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1" t="s">
        <v>5</v>
      </c>
      <c r="G544" s="1" t="s">
        <v>6</v>
      </c>
      <c r="H544" s="1" t="s">
        <v>7</v>
      </c>
      <c r="I544" s="1" t="s">
        <v>8</v>
      </c>
      <c r="J544" s="1" t="s">
        <v>9</v>
      </c>
      <c r="K544" s="1" t="s">
        <v>10</v>
      </c>
      <c r="L544" s="1" t="s">
        <v>11</v>
      </c>
      <c r="M544" s="1" t="s">
        <v>12</v>
      </c>
      <c r="N544" s="1" t="s">
        <v>13</v>
      </c>
      <c r="O544" s="1" t="s">
        <v>14</v>
      </c>
      <c r="P544" s="1" t="s">
        <v>15</v>
      </c>
      <c r="Q544" s="1" t="s">
        <v>16</v>
      </c>
      <c r="R544" s="1" t="s">
        <v>17</v>
      </c>
      <c r="S544" s="1" t="s">
        <v>18</v>
      </c>
      <c r="T544" s="1" t="s">
        <v>19</v>
      </c>
      <c r="U544" s="1" t="s">
        <v>20</v>
      </c>
    </row>
    <row r="545" spans="1:21" ht="135" x14ac:dyDescent="0.25">
      <c r="A545" s="2">
        <v>59</v>
      </c>
      <c r="B545" s="2" t="s">
        <v>2112</v>
      </c>
      <c r="C545" s="2" t="s">
        <v>22</v>
      </c>
      <c r="D545" s="2" t="s">
        <v>36</v>
      </c>
      <c r="E545" s="2" t="s">
        <v>526</v>
      </c>
      <c r="F545" s="2" t="s">
        <v>25</v>
      </c>
      <c r="G545" s="2">
        <f>91-22-22841800</f>
        <v>-22841731</v>
      </c>
      <c r="H545" s="3" t="s">
        <v>2113</v>
      </c>
      <c r="I545" s="3" t="s">
        <v>2114</v>
      </c>
      <c r="J545" s="2" t="s">
        <v>2153</v>
      </c>
      <c r="K545" s="2"/>
      <c r="L545" s="2"/>
      <c r="M545" s="2" t="s">
        <v>2307</v>
      </c>
      <c r="N545" s="2"/>
      <c r="O545" s="2"/>
      <c r="P545" s="2" t="s">
        <v>31</v>
      </c>
      <c r="Q545" s="4">
        <v>45982</v>
      </c>
      <c r="R545" s="2" t="s">
        <v>2308</v>
      </c>
      <c r="S545" s="2">
        <v>1</v>
      </c>
      <c r="T545" s="2" t="s">
        <v>2309</v>
      </c>
      <c r="U545" s="2" t="s">
        <v>34</v>
      </c>
    </row>
    <row r="546" spans="1:21" ht="105" x14ac:dyDescent="0.25">
      <c r="A546" s="2">
        <v>59</v>
      </c>
      <c r="B546" s="2" t="s">
        <v>2310</v>
      </c>
      <c r="C546" s="2" t="s">
        <v>22</v>
      </c>
      <c r="D546" s="2" t="s">
        <v>36</v>
      </c>
      <c r="E546" s="2" t="s">
        <v>526</v>
      </c>
      <c r="F546" s="2" t="s">
        <v>476</v>
      </c>
      <c r="G546" s="2">
        <f>91-22-22041800</f>
        <v>-22041731</v>
      </c>
      <c r="H546" s="2"/>
      <c r="I546" s="3" t="s">
        <v>2311</v>
      </c>
      <c r="J546" s="2" t="s">
        <v>526</v>
      </c>
      <c r="K546" s="2"/>
      <c r="L546" s="2"/>
      <c r="M546" s="2"/>
      <c r="N546" s="2"/>
      <c r="O546" s="2"/>
      <c r="P546" s="2" t="s">
        <v>31</v>
      </c>
      <c r="Q546" s="4">
        <v>45982</v>
      </c>
      <c r="R546" s="2" t="s">
        <v>2312</v>
      </c>
      <c r="S546" s="2">
        <v>1</v>
      </c>
      <c r="T546" s="2" t="s">
        <v>2309</v>
      </c>
      <c r="U546" s="2" t="s">
        <v>34</v>
      </c>
    </row>
    <row r="547" spans="1:21" ht="135" x14ac:dyDescent="0.25">
      <c r="A547" s="2">
        <v>59</v>
      </c>
      <c r="B547" s="2" t="s">
        <v>2313</v>
      </c>
      <c r="C547" s="2" t="s">
        <v>56</v>
      </c>
      <c r="D547" s="2" t="s">
        <v>36</v>
      </c>
      <c r="E547" s="2" t="s">
        <v>95</v>
      </c>
      <c r="F547" s="2" t="s">
        <v>59</v>
      </c>
      <c r="G547" s="2">
        <f>91-20-27990300</f>
        <v>-27990229</v>
      </c>
      <c r="H547" s="3" t="s">
        <v>2314</v>
      </c>
      <c r="I547" s="3" t="s">
        <v>2315</v>
      </c>
      <c r="J547" s="2" t="s">
        <v>95</v>
      </c>
      <c r="K547" s="2"/>
      <c r="L547" s="2" t="s">
        <v>2316</v>
      </c>
      <c r="M547" s="2"/>
      <c r="N547" s="2"/>
      <c r="O547" s="2"/>
      <c r="P547" s="2" t="s">
        <v>31</v>
      </c>
      <c r="Q547" s="4">
        <v>45971</v>
      </c>
      <c r="R547" s="2" t="s">
        <v>2317</v>
      </c>
      <c r="S547" s="2">
        <v>1</v>
      </c>
      <c r="T547" s="2" t="s">
        <v>2309</v>
      </c>
      <c r="U547" s="2" t="s">
        <v>34</v>
      </c>
    </row>
    <row r="548" spans="1:21" ht="75" x14ac:dyDescent="0.25">
      <c r="A548" s="2">
        <v>59</v>
      </c>
      <c r="B548" s="2" t="s">
        <v>2318</v>
      </c>
      <c r="C548" s="2" t="s">
        <v>56</v>
      </c>
      <c r="D548" s="2" t="s">
        <v>321</v>
      </c>
      <c r="E548" s="2" t="s">
        <v>583</v>
      </c>
      <c r="F548" s="2" t="s">
        <v>59</v>
      </c>
      <c r="G548" s="2">
        <f>91-124-4354400</f>
        <v>-4354433</v>
      </c>
      <c r="H548" s="3" t="s">
        <v>2319</v>
      </c>
      <c r="I548" s="3" t="s">
        <v>2320</v>
      </c>
      <c r="J548" s="2" t="s">
        <v>2321</v>
      </c>
      <c r="K548" s="2"/>
      <c r="L548" s="2" t="s">
        <v>2322</v>
      </c>
      <c r="M548" s="2"/>
      <c r="N548" s="2"/>
      <c r="O548" s="2"/>
      <c r="P548" s="2" t="s">
        <v>31</v>
      </c>
      <c r="Q548" s="4">
        <v>45971</v>
      </c>
      <c r="R548" s="2"/>
      <c r="S548" s="2">
        <v>1</v>
      </c>
      <c r="T548" s="2" t="s">
        <v>2309</v>
      </c>
      <c r="U548" s="2" t="s">
        <v>34</v>
      </c>
    </row>
    <row r="549" spans="1:21" ht="90" x14ac:dyDescent="0.25">
      <c r="A549" s="2">
        <v>59</v>
      </c>
      <c r="B549" s="2" t="s">
        <v>2323</v>
      </c>
      <c r="C549" s="2" t="s">
        <v>56</v>
      </c>
      <c r="D549" s="2" t="s">
        <v>36</v>
      </c>
      <c r="E549" s="2" t="s">
        <v>526</v>
      </c>
      <c r="F549" s="2" t="s">
        <v>59</v>
      </c>
      <c r="G549" s="2">
        <f>91-22-66562727</f>
        <v>-66562658</v>
      </c>
      <c r="H549" s="3" t="s">
        <v>2324</v>
      </c>
      <c r="I549" s="3" t="s">
        <v>2325</v>
      </c>
      <c r="J549" s="2" t="s">
        <v>2326</v>
      </c>
      <c r="K549" s="2"/>
      <c r="L549" s="2" t="s">
        <v>2327</v>
      </c>
      <c r="M549" s="2"/>
      <c r="N549" s="2"/>
      <c r="O549" s="2"/>
      <c r="P549" s="2" t="s">
        <v>31</v>
      </c>
      <c r="Q549" s="4">
        <v>45971</v>
      </c>
      <c r="R549" s="2"/>
      <c r="S549" s="2">
        <v>1</v>
      </c>
      <c r="T549" s="2" t="s">
        <v>2309</v>
      </c>
      <c r="U549" s="2" t="s">
        <v>34</v>
      </c>
    </row>
    <row r="550" spans="1:21" ht="105" x14ac:dyDescent="0.25">
      <c r="A550" s="2">
        <v>59</v>
      </c>
      <c r="B550" s="2" t="s">
        <v>2328</v>
      </c>
      <c r="C550" s="2" t="s">
        <v>56</v>
      </c>
      <c r="D550" s="2" t="s">
        <v>153</v>
      </c>
      <c r="E550" s="2" t="s">
        <v>355</v>
      </c>
      <c r="F550" s="2" t="s">
        <v>59</v>
      </c>
      <c r="G550" s="2">
        <f>91-79-40050000</f>
        <v>-40049988</v>
      </c>
      <c r="H550" s="2"/>
      <c r="I550" s="3" t="s">
        <v>2329</v>
      </c>
      <c r="J550" s="2" t="s">
        <v>2330</v>
      </c>
      <c r="K550" s="2"/>
      <c r="L550" s="2" t="s">
        <v>2331</v>
      </c>
      <c r="M550" s="2"/>
      <c r="N550" s="2"/>
      <c r="O550" s="2"/>
      <c r="P550" s="2" t="s">
        <v>31</v>
      </c>
      <c r="Q550" s="4">
        <v>45971</v>
      </c>
      <c r="R550" s="2"/>
      <c r="S550" s="2">
        <v>1</v>
      </c>
      <c r="T550" s="2" t="s">
        <v>2309</v>
      </c>
      <c r="U550" s="2" t="s">
        <v>34</v>
      </c>
    </row>
    <row r="551" spans="1:21" ht="90" x14ac:dyDescent="0.25">
      <c r="A551" s="2">
        <v>59</v>
      </c>
      <c r="B551" s="2" t="s">
        <v>2332</v>
      </c>
      <c r="C551" s="2" t="s">
        <v>56</v>
      </c>
      <c r="D551" s="2" t="s">
        <v>36</v>
      </c>
      <c r="E551" s="2" t="s">
        <v>526</v>
      </c>
      <c r="F551" s="2" t="s">
        <v>59</v>
      </c>
      <c r="G551" s="2">
        <f>91-22-22660000</f>
        <v>-22659931</v>
      </c>
      <c r="H551" s="3" t="s">
        <v>2333</v>
      </c>
      <c r="I551" s="3" t="s">
        <v>2334</v>
      </c>
      <c r="J551" s="2" t="s">
        <v>2335</v>
      </c>
      <c r="K551" s="2"/>
      <c r="L551" s="2" t="s">
        <v>2336</v>
      </c>
      <c r="M551" s="2"/>
      <c r="N551" s="2"/>
      <c r="O551" s="2"/>
      <c r="P551" s="2" t="s">
        <v>31</v>
      </c>
      <c r="Q551" s="4">
        <v>45971</v>
      </c>
      <c r="R551" s="2"/>
      <c r="S551" s="2">
        <v>1</v>
      </c>
      <c r="T551" s="2" t="s">
        <v>2309</v>
      </c>
      <c r="U551" s="2" t="s">
        <v>34</v>
      </c>
    </row>
    <row r="552" spans="1:21" ht="75" x14ac:dyDescent="0.25">
      <c r="A552" s="2">
        <v>59</v>
      </c>
      <c r="B552" s="2" t="s">
        <v>2337</v>
      </c>
      <c r="C552" s="2" t="s">
        <v>56</v>
      </c>
      <c r="D552" s="2" t="s">
        <v>153</v>
      </c>
      <c r="E552" s="2" t="s">
        <v>2061</v>
      </c>
      <c r="F552" s="2" t="s">
        <v>59</v>
      </c>
      <c r="G552" s="2">
        <f>91-261-2320000</f>
        <v>-2320170</v>
      </c>
      <c r="H552" s="2"/>
      <c r="I552" s="2"/>
      <c r="J552" s="2" t="s">
        <v>2061</v>
      </c>
      <c r="K552" s="2"/>
      <c r="L552" s="2" t="s">
        <v>2338</v>
      </c>
      <c r="M552" s="2"/>
      <c r="N552" s="2"/>
      <c r="O552" s="2"/>
      <c r="P552" s="2" t="s">
        <v>31</v>
      </c>
      <c r="Q552" s="4">
        <v>45971</v>
      </c>
      <c r="R552" s="2"/>
      <c r="S552" s="2">
        <v>1</v>
      </c>
      <c r="T552" s="2" t="s">
        <v>2309</v>
      </c>
      <c r="U552" s="2" t="s">
        <v>34</v>
      </c>
    </row>
    <row r="553" spans="1:21" ht="105" x14ac:dyDescent="0.25">
      <c r="A553" s="2">
        <v>59</v>
      </c>
      <c r="B553" s="2" t="s">
        <v>2339</v>
      </c>
      <c r="C553" s="2" t="s">
        <v>56</v>
      </c>
      <c r="D553" s="2" t="s">
        <v>153</v>
      </c>
      <c r="E553" s="2" t="s">
        <v>355</v>
      </c>
      <c r="F553" s="2" t="s">
        <v>59</v>
      </c>
      <c r="G553" s="2">
        <f>91-79-25890000</f>
        <v>-25889988</v>
      </c>
      <c r="H553" s="2"/>
      <c r="I553" s="2"/>
      <c r="J553" s="2" t="s">
        <v>355</v>
      </c>
      <c r="K553" s="2"/>
      <c r="L553" s="2" t="s">
        <v>2340</v>
      </c>
      <c r="M553" s="2"/>
      <c r="N553" s="2"/>
      <c r="O553" s="2"/>
      <c r="P553" s="2" t="s">
        <v>31</v>
      </c>
      <c r="Q553" s="4">
        <v>45971</v>
      </c>
      <c r="R553" s="2"/>
      <c r="S553" s="2">
        <v>1</v>
      </c>
      <c r="T553" s="2" t="s">
        <v>2309</v>
      </c>
      <c r="U553" s="2" t="s">
        <v>34</v>
      </c>
    </row>
    <row r="554" spans="1:21" ht="90" x14ac:dyDescent="0.25">
      <c r="A554" s="2">
        <v>59</v>
      </c>
      <c r="B554" s="2" t="s">
        <v>2341</v>
      </c>
      <c r="C554" s="2" t="s">
        <v>426</v>
      </c>
      <c r="D554" s="2" t="s">
        <v>2218</v>
      </c>
      <c r="E554" s="2" t="s">
        <v>2342</v>
      </c>
      <c r="F554" s="2" t="s">
        <v>655</v>
      </c>
      <c r="G554" s="2"/>
      <c r="H554" s="2"/>
      <c r="I554" s="2"/>
      <c r="J554" s="2" t="s">
        <v>2343</v>
      </c>
      <c r="K554" s="2"/>
      <c r="L554" s="2" t="s">
        <v>2344</v>
      </c>
      <c r="M554" s="2"/>
      <c r="N554" s="2"/>
      <c r="O554" s="2"/>
      <c r="P554" s="2" t="s">
        <v>31</v>
      </c>
      <c r="Q554" s="4">
        <v>45982</v>
      </c>
      <c r="R554" s="2"/>
      <c r="S554" s="2">
        <v>1</v>
      </c>
      <c r="T554" s="2" t="s">
        <v>2309</v>
      </c>
      <c r="U554" s="2" t="s">
        <v>34</v>
      </c>
    </row>
    <row r="555" spans="1:21" ht="135" x14ac:dyDescent="0.25">
      <c r="A555" s="2">
        <v>59</v>
      </c>
      <c r="B555" s="2" t="s">
        <v>2345</v>
      </c>
      <c r="C555" s="2" t="s">
        <v>119</v>
      </c>
      <c r="D555" s="2" t="s">
        <v>36</v>
      </c>
      <c r="E555" s="2" t="s">
        <v>526</v>
      </c>
      <c r="F555" s="2" t="s">
        <v>49</v>
      </c>
      <c r="G555" s="2">
        <f>91-22-26350101</f>
        <v>-26350032</v>
      </c>
      <c r="H555" s="2"/>
      <c r="I555" s="3" t="s">
        <v>2226</v>
      </c>
      <c r="J555" s="2" t="s">
        <v>2227</v>
      </c>
      <c r="K555" s="2"/>
      <c r="L555" s="2" t="s">
        <v>2346</v>
      </c>
      <c r="M555" s="2"/>
      <c r="N555" s="2"/>
      <c r="O555" s="2"/>
      <c r="P555" s="2" t="s">
        <v>31</v>
      </c>
      <c r="Q555" s="4">
        <v>45982</v>
      </c>
      <c r="R555" s="2"/>
      <c r="S555" s="2">
        <v>1</v>
      </c>
      <c r="T555" s="2" t="s">
        <v>2309</v>
      </c>
      <c r="U555" s="2" t="s">
        <v>34</v>
      </c>
    </row>
    <row r="556" spans="1:21" ht="45" x14ac:dyDescent="0.25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4</v>
      </c>
      <c r="F556" s="1" t="s">
        <v>5</v>
      </c>
      <c r="G556" s="1" t="s">
        <v>6</v>
      </c>
      <c r="H556" s="1" t="s">
        <v>7</v>
      </c>
      <c r="I556" s="1" t="s">
        <v>8</v>
      </c>
      <c r="J556" s="1" t="s">
        <v>9</v>
      </c>
      <c r="K556" s="1" t="s">
        <v>10</v>
      </c>
      <c r="L556" s="1" t="s">
        <v>11</v>
      </c>
      <c r="M556" s="1" t="s">
        <v>12</v>
      </c>
      <c r="N556" s="1" t="s">
        <v>13</v>
      </c>
      <c r="O556" s="1" t="s">
        <v>14</v>
      </c>
      <c r="P556" s="1" t="s">
        <v>15</v>
      </c>
      <c r="Q556" s="1" t="s">
        <v>16</v>
      </c>
      <c r="R556" s="1" t="s">
        <v>17</v>
      </c>
      <c r="S556" s="1" t="s">
        <v>18</v>
      </c>
      <c r="T556" s="1" t="s">
        <v>19</v>
      </c>
      <c r="U556" s="1" t="s">
        <v>20</v>
      </c>
    </row>
    <row r="557" spans="1:21" ht="135" x14ac:dyDescent="0.25">
      <c r="A557" s="2">
        <v>60</v>
      </c>
      <c r="B557" s="2" t="s">
        <v>2112</v>
      </c>
      <c r="C557" s="2" t="s">
        <v>22</v>
      </c>
      <c r="D557" s="2" t="s">
        <v>36</v>
      </c>
      <c r="E557" s="2" t="s">
        <v>526</v>
      </c>
      <c r="F557" s="2" t="s">
        <v>25</v>
      </c>
      <c r="G557" s="2">
        <f>91-22-22841800</f>
        <v>-22841731</v>
      </c>
      <c r="H557" s="3" t="s">
        <v>2113</v>
      </c>
      <c r="I557" s="3" t="s">
        <v>2114</v>
      </c>
      <c r="J557" s="2" t="s">
        <v>2153</v>
      </c>
      <c r="K557" s="2"/>
      <c r="L557" s="2"/>
      <c r="M557" s="2" t="s">
        <v>2347</v>
      </c>
      <c r="N557" s="2"/>
      <c r="O557" s="2"/>
      <c r="P557" s="2" t="s">
        <v>31</v>
      </c>
      <c r="Q557" s="4">
        <v>45982</v>
      </c>
      <c r="R557" s="2" t="s">
        <v>2348</v>
      </c>
      <c r="S557" s="2">
        <v>1</v>
      </c>
      <c r="T557" s="2" t="s">
        <v>2349</v>
      </c>
      <c r="U557" s="2" t="s">
        <v>34</v>
      </c>
    </row>
    <row r="558" spans="1:21" ht="150" x14ac:dyDescent="0.25">
      <c r="A558" s="2">
        <v>60</v>
      </c>
      <c r="B558" s="2" t="s">
        <v>2350</v>
      </c>
      <c r="C558" s="2" t="s">
        <v>22</v>
      </c>
      <c r="D558" s="2" t="s">
        <v>102</v>
      </c>
      <c r="E558" s="2" t="s">
        <v>2351</v>
      </c>
      <c r="F558" s="2" t="s">
        <v>476</v>
      </c>
      <c r="G558" s="2">
        <f>91-421-2243232</f>
        <v>-2243562</v>
      </c>
      <c r="H558" s="3" t="s">
        <v>2352</v>
      </c>
      <c r="I558" s="3" t="s">
        <v>2353</v>
      </c>
      <c r="J558" s="2" t="s">
        <v>2351</v>
      </c>
      <c r="K558" s="2"/>
      <c r="L558" s="2"/>
      <c r="M558" s="2"/>
      <c r="N558" s="2"/>
      <c r="O558" s="2"/>
      <c r="P558" s="2" t="s">
        <v>31</v>
      </c>
      <c r="Q558" s="4">
        <v>45982</v>
      </c>
      <c r="R558" s="2" t="s">
        <v>2354</v>
      </c>
      <c r="S558" s="2">
        <v>1</v>
      </c>
      <c r="T558" s="2" t="s">
        <v>2349</v>
      </c>
      <c r="U558" s="2" t="s">
        <v>34</v>
      </c>
    </row>
    <row r="559" spans="1:21" ht="105" x14ac:dyDescent="0.25">
      <c r="A559" s="2">
        <v>60</v>
      </c>
      <c r="B559" s="2" t="s">
        <v>2355</v>
      </c>
      <c r="C559" s="2" t="s">
        <v>56</v>
      </c>
      <c r="D559" s="2" t="s">
        <v>370</v>
      </c>
      <c r="E559" s="2" t="s">
        <v>1094</v>
      </c>
      <c r="F559" s="2" t="s">
        <v>59</v>
      </c>
      <c r="G559" s="2">
        <f>91-731-4060000</f>
        <v>-4060640</v>
      </c>
      <c r="H559" s="3" t="s">
        <v>2356</v>
      </c>
      <c r="I559" s="3" t="s">
        <v>2357</v>
      </c>
      <c r="J559" s="2" t="s">
        <v>2358</v>
      </c>
      <c r="K559" s="2"/>
      <c r="L559" s="2" t="s">
        <v>2359</v>
      </c>
      <c r="M559" s="2"/>
      <c r="N559" s="2"/>
      <c r="O559" s="2"/>
      <c r="P559" s="2" t="s">
        <v>31</v>
      </c>
      <c r="Q559" s="4">
        <v>45971</v>
      </c>
      <c r="R559" s="2"/>
      <c r="S559" s="2">
        <v>1</v>
      </c>
      <c r="T559" s="2" t="s">
        <v>2349</v>
      </c>
      <c r="U559" s="2" t="s">
        <v>34</v>
      </c>
    </row>
    <row r="560" spans="1:21" ht="105" x14ac:dyDescent="0.25">
      <c r="A560" s="2">
        <v>60</v>
      </c>
      <c r="B560" s="2" t="s">
        <v>2360</v>
      </c>
      <c r="C560" s="2" t="s">
        <v>56</v>
      </c>
      <c r="D560" s="2" t="s">
        <v>841</v>
      </c>
      <c r="E560" s="2" t="s">
        <v>1325</v>
      </c>
      <c r="F560" s="2" t="s">
        <v>59</v>
      </c>
      <c r="G560" s="2">
        <f>91-161-2670000</f>
        <v>-2670070</v>
      </c>
      <c r="H560" s="3" t="s">
        <v>2049</v>
      </c>
      <c r="I560" s="3" t="s">
        <v>2050</v>
      </c>
      <c r="J560" s="2" t="s">
        <v>1325</v>
      </c>
      <c r="K560" s="2"/>
      <c r="L560" s="2" t="s">
        <v>2361</v>
      </c>
      <c r="M560" s="2"/>
      <c r="N560" s="2"/>
      <c r="O560" s="2"/>
      <c r="P560" s="2" t="s">
        <v>31</v>
      </c>
      <c r="Q560" s="4">
        <v>45971</v>
      </c>
      <c r="R560" s="2"/>
      <c r="S560" s="2">
        <v>1</v>
      </c>
      <c r="T560" s="2" t="s">
        <v>2349</v>
      </c>
      <c r="U560" s="2" t="s">
        <v>34</v>
      </c>
    </row>
    <row r="561" spans="1:21" ht="75" x14ac:dyDescent="0.25">
      <c r="A561" s="2">
        <v>60</v>
      </c>
      <c r="B561" s="2" t="s">
        <v>2362</v>
      </c>
      <c r="C561" s="2" t="s">
        <v>56</v>
      </c>
      <c r="D561" s="2" t="s">
        <v>36</v>
      </c>
      <c r="E561" s="2" t="s">
        <v>526</v>
      </c>
      <c r="F561" s="2" t="s">
        <v>59</v>
      </c>
      <c r="G561" s="2">
        <f>91-22-42232323</f>
        <v>-42232254</v>
      </c>
      <c r="H561" s="3" t="s">
        <v>2363</v>
      </c>
      <c r="I561" s="3" t="s">
        <v>2364</v>
      </c>
      <c r="J561" s="2" t="s">
        <v>2365</v>
      </c>
      <c r="K561" s="2"/>
      <c r="L561" s="2" t="s">
        <v>2366</v>
      </c>
      <c r="M561" s="2"/>
      <c r="N561" s="2"/>
      <c r="O561" s="2"/>
      <c r="P561" s="2" t="s">
        <v>31</v>
      </c>
      <c r="Q561" s="4">
        <v>45971</v>
      </c>
      <c r="R561" s="2"/>
      <c r="S561" s="2">
        <v>1</v>
      </c>
      <c r="T561" s="2" t="s">
        <v>2349</v>
      </c>
      <c r="U561" s="2" t="s">
        <v>34</v>
      </c>
    </row>
    <row r="562" spans="1:21" ht="75" x14ac:dyDescent="0.25">
      <c r="A562" s="2">
        <v>60</v>
      </c>
      <c r="B562" s="2" t="s">
        <v>2367</v>
      </c>
      <c r="C562" s="2" t="s">
        <v>56</v>
      </c>
      <c r="D562" s="2" t="s">
        <v>102</v>
      </c>
      <c r="E562" s="2" t="s">
        <v>2351</v>
      </c>
      <c r="F562" s="2" t="s">
        <v>59</v>
      </c>
      <c r="G562" s="2">
        <f>91-421-4330000</f>
        <v>-4330330</v>
      </c>
      <c r="H562" s="3" t="s">
        <v>2368</v>
      </c>
      <c r="I562" s="3" t="s">
        <v>2369</v>
      </c>
      <c r="J562" s="2" t="s">
        <v>2351</v>
      </c>
      <c r="K562" s="2"/>
      <c r="L562" s="2" t="s">
        <v>2370</v>
      </c>
      <c r="M562" s="2"/>
      <c r="N562" s="2"/>
      <c r="O562" s="2"/>
      <c r="P562" s="2" t="s">
        <v>31</v>
      </c>
      <c r="Q562" s="4">
        <v>45971</v>
      </c>
      <c r="R562" s="2"/>
      <c r="S562" s="2">
        <v>1</v>
      </c>
      <c r="T562" s="2" t="s">
        <v>2349</v>
      </c>
      <c r="U562" s="2" t="s">
        <v>34</v>
      </c>
    </row>
    <row r="563" spans="1:21" ht="105" x14ac:dyDescent="0.25">
      <c r="A563" s="2">
        <v>60</v>
      </c>
      <c r="B563" s="2" t="s">
        <v>2371</v>
      </c>
      <c r="C563" s="2" t="s">
        <v>56</v>
      </c>
      <c r="D563" s="2" t="s">
        <v>153</v>
      </c>
      <c r="E563" s="2" t="s">
        <v>2061</v>
      </c>
      <c r="F563" s="2" t="s">
        <v>59</v>
      </c>
      <c r="G563" s="2">
        <f>91-261-2310000</f>
        <v>-2310170</v>
      </c>
      <c r="H563" s="3" t="s">
        <v>2128</v>
      </c>
      <c r="I563" s="3" t="s">
        <v>2129</v>
      </c>
      <c r="J563" s="2" t="s">
        <v>2143</v>
      </c>
      <c r="K563" s="2"/>
      <c r="L563" s="2" t="s">
        <v>2372</v>
      </c>
      <c r="M563" s="2"/>
      <c r="N563" s="2"/>
      <c r="O563" s="2"/>
      <c r="P563" s="2" t="s">
        <v>31</v>
      </c>
      <c r="Q563" s="4">
        <v>45971</v>
      </c>
      <c r="R563" s="2"/>
      <c r="S563" s="2">
        <v>1</v>
      </c>
      <c r="T563" s="2" t="s">
        <v>2349</v>
      </c>
      <c r="U563" s="2" t="s">
        <v>34</v>
      </c>
    </row>
    <row r="564" spans="1:21" ht="105" x14ac:dyDescent="0.25">
      <c r="A564" s="2">
        <v>60</v>
      </c>
      <c r="B564" s="2" t="s">
        <v>2373</v>
      </c>
      <c r="C564" s="2" t="s">
        <v>56</v>
      </c>
      <c r="D564" s="2" t="s">
        <v>298</v>
      </c>
      <c r="E564" s="2" t="s">
        <v>299</v>
      </c>
      <c r="F564" s="2" t="s">
        <v>59</v>
      </c>
      <c r="G564" s="2">
        <f>91-80-67666666</f>
        <v>-67666655</v>
      </c>
      <c r="H564" s="2"/>
      <c r="I564" s="3" t="s">
        <v>2374</v>
      </c>
      <c r="J564" s="2" t="s">
        <v>2375</v>
      </c>
      <c r="K564" s="2"/>
      <c r="L564" s="2" t="s">
        <v>2376</v>
      </c>
      <c r="M564" s="2"/>
      <c r="N564" s="2"/>
      <c r="O564" s="2"/>
      <c r="P564" s="2" t="s">
        <v>31</v>
      </c>
      <c r="Q564" s="4">
        <v>45971</v>
      </c>
      <c r="R564" s="2" t="s">
        <v>2377</v>
      </c>
      <c r="S564" s="2">
        <v>1</v>
      </c>
      <c r="T564" s="2" t="s">
        <v>2349</v>
      </c>
      <c r="U564" s="2" t="s">
        <v>34</v>
      </c>
    </row>
    <row r="565" spans="1:21" ht="75" x14ac:dyDescent="0.25">
      <c r="A565" s="2">
        <v>60</v>
      </c>
      <c r="B565" s="2" t="s">
        <v>2378</v>
      </c>
      <c r="C565" s="2" t="s">
        <v>426</v>
      </c>
      <c r="D565" s="2" t="s">
        <v>102</v>
      </c>
      <c r="E565" s="2" t="s">
        <v>2351</v>
      </c>
      <c r="F565" s="2" t="s">
        <v>655</v>
      </c>
      <c r="G565" s="2"/>
      <c r="H565" s="2"/>
      <c r="I565" s="2"/>
      <c r="J565" s="2" t="s">
        <v>2351</v>
      </c>
      <c r="K565" s="2"/>
      <c r="L565" s="2" t="s">
        <v>2379</v>
      </c>
      <c r="M565" s="2"/>
      <c r="N565" s="2"/>
      <c r="O565" s="2"/>
      <c r="P565" s="2" t="s">
        <v>31</v>
      </c>
      <c r="Q565" s="4">
        <v>45982</v>
      </c>
      <c r="R565" s="2" t="s">
        <v>2380</v>
      </c>
      <c r="S565" s="2">
        <v>1</v>
      </c>
      <c r="T565" s="2" t="s">
        <v>2349</v>
      </c>
      <c r="U565" s="2" t="s">
        <v>34</v>
      </c>
    </row>
    <row r="566" spans="1:21" ht="75" x14ac:dyDescent="0.25">
      <c r="A566" s="2">
        <v>60</v>
      </c>
      <c r="B566" s="2" t="s">
        <v>2381</v>
      </c>
      <c r="C566" s="2" t="s">
        <v>426</v>
      </c>
      <c r="D566" s="2" t="s">
        <v>841</v>
      </c>
      <c r="E566" s="2" t="s">
        <v>1325</v>
      </c>
      <c r="F566" s="2" t="s">
        <v>655</v>
      </c>
      <c r="G566" s="2"/>
      <c r="H566" s="2"/>
      <c r="I566" s="2"/>
      <c r="J566" s="2" t="s">
        <v>1325</v>
      </c>
      <c r="K566" s="2"/>
      <c r="L566" s="2" t="s">
        <v>2382</v>
      </c>
      <c r="M566" s="2"/>
      <c r="N566" s="2"/>
      <c r="O566" s="2"/>
      <c r="P566" s="2" t="s">
        <v>31</v>
      </c>
      <c r="Q566" s="4">
        <v>45982</v>
      </c>
      <c r="R566" s="2"/>
      <c r="S566" s="2">
        <v>1</v>
      </c>
      <c r="T566" s="2" t="s">
        <v>2349</v>
      </c>
      <c r="U566" s="2" t="s">
        <v>34</v>
      </c>
    </row>
    <row r="567" spans="1:21" ht="135" x14ac:dyDescent="0.25">
      <c r="A567" s="2">
        <v>60</v>
      </c>
      <c r="B567" s="2" t="s">
        <v>2383</v>
      </c>
      <c r="C567" s="2" t="s">
        <v>119</v>
      </c>
      <c r="D567" s="2" t="s">
        <v>102</v>
      </c>
      <c r="E567" s="2" t="s">
        <v>103</v>
      </c>
      <c r="F567" s="2" t="s">
        <v>49</v>
      </c>
      <c r="G567" s="2">
        <f>91-422-4215333</f>
        <v>-4215664</v>
      </c>
      <c r="H567" s="3" t="s">
        <v>2384</v>
      </c>
      <c r="I567" s="3" t="s">
        <v>2385</v>
      </c>
      <c r="J567" s="2" t="s">
        <v>103</v>
      </c>
      <c r="K567" s="2"/>
      <c r="L567" s="2" t="s">
        <v>2386</v>
      </c>
      <c r="M567" s="2"/>
      <c r="N567" s="2"/>
      <c r="O567" s="2"/>
      <c r="P567" s="2" t="s">
        <v>31</v>
      </c>
      <c r="Q567" s="4">
        <v>45982</v>
      </c>
      <c r="R567" s="2"/>
      <c r="S567" s="2">
        <v>1</v>
      </c>
      <c r="T567" s="2" t="s">
        <v>2349</v>
      </c>
      <c r="U567" s="2" t="s">
        <v>34</v>
      </c>
    </row>
    <row r="568" spans="1:21" ht="45" x14ac:dyDescent="0.25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4</v>
      </c>
      <c r="F568" s="1" t="s">
        <v>5</v>
      </c>
      <c r="G568" s="1" t="s">
        <v>6</v>
      </c>
      <c r="H568" s="1" t="s">
        <v>7</v>
      </c>
      <c r="I568" s="1" t="s">
        <v>8</v>
      </c>
      <c r="J568" s="1" t="s">
        <v>9</v>
      </c>
      <c r="K568" s="1" t="s">
        <v>10</v>
      </c>
      <c r="L568" s="1" t="s">
        <v>11</v>
      </c>
      <c r="M568" s="1" t="s">
        <v>12</v>
      </c>
      <c r="N568" s="1" t="s">
        <v>13</v>
      </c>
      <c r="O568" s="1" t="s">
        <v>14</v>
      </c>
      <c r="P568" s="1" t="s">
        <v>15</v>
      </c>
      <c r="Q568" s="1" t="s">
        <v>16</v>
      </c>
      <c r="R568" s="1" t="s">
        <v>17</v>
      </c>
      <c r="S568" s="1" t="s">
        <v>18</v>
      </c>
      <c r="T568" s="1" t="s">
        <v>19</v>
      </c>
      <c r="U568" s="1" t="s">
        <v>20</v>
      </c>
    </row>
    <row r="569" spans="1:21" ht="90" x14ac:dyDescent="0.25">
      <c r="A569" s="2">
        <v>61</v>
      </c>
      <c r="B569" s="2" t="s">
        <v>2387</v>
      </c>
      <c r="C569" s="2" t="s">
        <v>22</v>
      </c>
      <c r="D569" s="2" t="s">
        <v>23</v>
      </c>
      <c r="E569" s="2" t="s">
        <v>24</v>
      </c>
      <c r="F569" s="2" t="s">
        <v>25</v>
      </c>
      <c r="G569" s="2">
        <f>91-11-26115841</f>
        <v>-26115761</v>
      </c>
      <c r="H569" s="3" t="s">
        <v>2388</v>
      </c>
      <c r="I569" s="3" t="s">
        <v>2389</v>
      </c>
      <c r="J569" s="2" t="s">
        <v>2390</v>
      </c>
      <c r="K569" s="2"/>
      <c r="L569" s="2"/>
      <c r="M569" s="2" t="s">
        <v>2391</v>
      </c>
      <c r="N569" s="2"/>
      <c r="O569" s="2"/>
      <c r="P569" s="2" t="s">
        <v>31</v>
      </c>
      <c r="Q569" s="4">
        <v>45982</v>
      </c>
      <c r="R569" s="2" t="s">
        <v>2392</v>
      </c>
      <c r="S569" s="2">
        <v>1</v>
      </c>
      <c r="T569" s="2" t="s">
        <v>2393</v>
      </c>
      <c r="U569" s="2" t="s">
        <v>34</v>
      </c>
    </row>
    <row r="570" spans="1:21" ht="75" x14ac:dyDescent="0.25">
      <c r="A570" s="2">
        <v>61</v>
      </c>
      <c r="B570" s="2" t="s">
        <v>2394</v>
      </c>
      <c r="C570" s="2" t="s">
        <v>22</v>
      </c>
      <c r="D570" s="2" t="s">
        <v>102</v>
      </c>
      <c r="E570" s="2" t="s">
        <v>2351</v>
      </c>
      <c r="F570" s="2" t="s">
        <v>476</v>
      </c>
      <c r="G570" s="2">
        <f>91-421-2243232</f>
        <v>-2243562</v>
      </c>
      <c r="H570" s="3" t="s">
        <v>2352</v>
      </c>
      <c r="I570" s="3" t="s">
        <v>2353</v>
      </c>
      <c r="J570" s="2" t="s">
        <v>2351</v>
      </c>
      <c r="K570" s="2"/>
      <c r="L570" s="2"/>
      <c r="M570" s="2"/>
      <c r="N570" s="2"/>
      <c r="O570" s="2"/>
      <c r="P570" s="2" t="s">
        <v>31</v>
      </c>
      <c r="Q570" s="4">
        <v>45982</v>
      </c>
      <c r="R570" s="2" t="s">
        <v>2395</v>
      </c>
      <c r="S570" s="2">
        <v>1</v>
      </c>
      <c r="T570" s="2" t="s">
        <v>2393</v>
      </c>
      <c r="U570" s="2" t="s">
        <v>34</v>
      </c>
    </row>
    <row r="571" spans="1:21" ht="105" x14ac:dyDescent="0.25">
      <c r="A571" s="2">
        <v>61</v>
      </c>
      <c r="B571" s="2" t="s">
        <v>2396</v>
      </c>
      <c r="C571" s="2" t="s">
        <v>56</v>
      </c>
      <c r="D571" s="2" t="s">
        <v>298</v>
      </c>
      <c r="E571" s="2" t="s">
        <v>299</v>
      </c>
      <c r="F571" s="2" t="s">
        <v>59</v>
      </c>
      <c r="G571" s="2">
        <f>91-80-67666666</f>
        <v>-67666655</v>
      </c>
      <c r="H571" s="3" t="s">
        <v>2397</v>
      </c>
      <c r="I571" s="3" t="s">
        <v>2374</v>
      </c>
      <c r="J571" s="2" t="s">
        <v>2398</v>
      </c>
      <c r="K571" s="2"/>
      <c r="L571" s="2" t="s">
        <v>2399</v>
      </c>
      <c r="M571" s="2"/>
      <c r="N571" s="2"/>
      <c r="O571" s="2"/>
      <c r="P571" s="2" t="s">
        <v>31</v>
      </c>
      <c r="Q571" s="4">
        <v>45971</v>
      </c>
      <c r="R571" s="2" t="s">
        <v>2400</v>
      </c>
      <c r="S571" s="2">
        <v>1</v>
      </c>
      <c r="T571" s="2" t="s">
        <v>2393</v>
      </c>
      <c r="U571" s="2" t="s">
        <v>34</v>
      </c>
    </row>
    <row r="572" spans="1:21" ht="75" x14ac:dyDescent="0.25">
      <c r="A572" s="2">
        <v>61</v>
      </c>
      <c r="B572" s="2" t="s">
        <v>2401</v>
      </c>
      <c r="C572" s="2" t="s">
        <v>56</v>
      </c>
      <c r="D572" s="2" t="s">
        <v>298</v>
      </c>
      <c r="E572" s="2" t="s">
        <v>299</v>
      </c>
      <c r="F572" s="2" t="s">
        <v>59</v>
      </c>
      <c r="G572" s="2">
        <f>91-80-68971800</f>
        <v>-68971789</v>
      </c>
      <c r="H572" s="3" t="s">
        <v>2402</v>
      </c>
      <c r="I572" s="3" t="s">
        <v>2403</v>
      </c>
      <c r="J572" s="2" t="s">
        <v>2404</v>
      </c>
      <c r="K572" s="2"/>
      <c r="L572" s="2" t="s">
        <v>2405</v>
      </c>
      <c r="M572" s="2"/>
      <c r="N572" s="2"/>
      <c r="O572" s="2"/>
      <c r="P572" s="2" t="s">
        <v>31</v>
      </c>
      <c r="Q572" s="4">
        <v>45971</v>
      </c>
      <c r="R572" s="2"/>
      <c r="S572" s="2">
        <v>1</v>
      </c>
      <c r="T572" s="2" t="s">
        <v>2393</v>
      </c>
      <c r="U572" s="2" t="s">
        <v>34</v>
      </c>
    </row>
    <row r="573" spans="1:21" ht="90" x14ac:dyDescent="0.25">
      <c r="A573" s="2">
        <v>61</v>
      </c>
      <c r="B573" s="2" t="s">
        <v>2052</v>
      </c>
      <c r="C573" s="2" t="s">
        <v>56</v>
      </c>
      <c r="D573" s="2" t="s">
        <v>102</v>
      </c>
      <c r="E573" s="2" t="s">
        <v>103</v>
      </c>
      <c r="F573" s="2" t="s">
        <v>59</v>
      </c>
      <c r="G573" s="2">
        <f>91-422-2200000</f>
        <v>-2200331</v>
      </c>
      <c r="H573" s="3" t="s">
        <v>2053</v>
      </c>
      <c r="I573" s="3" t="s">
        <v>2054</v>
      </c>
      <c r="J573" s="2" t="s">
        <v>103</v>
      </c>
      <c r="K573" s="2"/>
      <c r="L573" s="2" t="s">
        <v>2406</v>
      </c>
      <c r="M573" s="2"/>
      <c r="N573" s="2"/>
      <c r="O573" s="2"/>
      <c r="P573" s="2" t="s">
        <v>31</v>
      </c>
      <c r="Q573" s="4">
        <v>45971</v>
      </c>
      <c r="R573" s="2"/>
      <c r="S573" s="2">
        <v>1</v>
      </c>
      <c r="T573" s="2" t="s">
        <v>2393</v>
      </c>
      <c r="U573" s="2" t="s">
        <v>34</v>
      </c>
    </row>
    <row r="574" spans="1:21" ht="105" x14ac:dyDescent="0.25">
      <c r="A574" s="2">
        <v>61</v>
      </c>
      <c r="B574" s="2" t="s">
        <v>2355</v>
      </c>
      <c r="C574" s="2" t="s">
        <v>56</v>
      </c>
      <c r="D574" s="2" t="s">
        <v>370</v>
      </c>
      <c r="E574" s="2" t="s">
        <v>1094</v>
      </c>
      <c r="F574" s="2" t="s">
        <v>59</v>
      </c>
      <c r="G574" s="2">
        <f>91-731-4060000</f>
        <v>-4060640</v>
      </c>
      <c r="H574" s="3" t="s">
        <v>2356</v>
      </c>
      <c r="I574" s="3" t="s">
        <v>2357</v>
      </c>
      <c r="J574" s="2" t="s">
        <v>2407</v>
      </c>
      <c r="K574" s="2"/>
      <c r="L574" s="2" t="s">
        <v>2408</v>
      </c>
      <c r="M574" s="2"/>
      <c r="N574" s="2"/>
      <c r="O574" s="2"/>
      <c r="P574" s="2" t="s">
        <v>31</v>
      </c>
      <c r="Q574" s="4">
        <v>45971</v>
      </c>
      <c r="R574" s="2"/>
      <c r="S574" s="2">
        <v>1</v>
      </c>
      <c r="T574" s="2" t="s">
        <v>2393</v>
      </c>
      <c r="U574" s="2" t="s">
        <v>34</v>
      </c>
    </row>
    <row r="575" spans="1:21" ht="60" x14ac:dyDescent="0.25">
      <c r="A575" s="2">
        <v>61</v>
      </c>
      <c r="B575" s="2" t="s">
        <v>2409</v>
      </c>
      <c r="C575" s="2" t="s">
        <v>56</v>
      </c>
      <c r="D575" s="2" t="s">
        <v>321</v>
      </c>
      <c r="E575" s="2" t="s">
        <v>491</v>
      </c>
      <c r="F575" s="2" t="s">
        <v>59</v>
      </c>
      <c r="G575" s="2">
        <f>91-124-4676000</f>
        <v>-4676033</v>
      </c>
      <c r="H575" s="3" t="s">
        <v>2410</v>
      </c>
      <c r="I575" s="3" t="s">
        <v>2411</v>
      </c>
      <c r="J575" s="2" t="s">
        <v>2412</v>
      </c>
      <c r="K575" s="2"/>
      <c r="L575" s="2" t="s">
        <v>2413</v>
      </c>
      <c r="M575" s="2"/>
      <c r="N575" s="2"/>
      <c r="O575" s="2"/>
      <c r="P575" s="2" t="s">
        <v>31</v>
      </c>
      <c r="Q575" s="4">
        <v>45971</v>
      </c>
      <c r="R575" s="2"/>
      <c r="S575" s="2">
        <v>1</v>
      </c>
      <c r="T575" s="2" t="s">
        <v>2393</v>
      </c>
      <c r="U575" s="2" t="s">
        <v>34</v>
      </c>
    </row>
    <row r="576" spans="1:21" ht="75" x14ac:dyDescent="0.25">
      <c r="A576" s="2">
        <v>61</v>
      </c>
      <c r="B576" s="2" t="s">
        <v>2414</v>
      </c>
      <c r="C576" s="2" t="s">
        <v>56</v>
      </c>
      <c r="D576" s="2" t="s">
        <v>321</v>
      </c>
      <c r="E576" s="2" t="s">
        <v>491</v>
      </c>
      <c r="F576" s="2" t="s">
        <v>59</v>
      </c>
      <c r="G576" s="2">
        <f>91-124-4651000</f>
        <v>-4651033</v>
      </c>
      <c r="H576" s="3" t="s">
        <v>2415</v>
      </c>
      <c r="I576" s="3" t="s">
        <v>2416</v>
      </c>
      <c r="J576" s="2" t="s">
        <v>2417</v>
      </c>
      <c r="K576" s="2"/>
      <c r="L576" s="2" t="s">
        <v>2418</v>
      </c>
      <c r="M576" s="2"/>
      <c r="N576" s="2"/>
      <c r="O576" s="2"/>
      <c r="P576" s="2" t="s">
        <v>31</v>
      </c>
      <c r="Q576" s="4">
        <v>45971</v>
      </c>
      <c r="R576" s="2"/>
      <c r="S576" s="2">
        <v>1</v>
      </c>
      <c r="T576" s="2" t="s">
        <v>2393</v>
      </c>
      <c r="U576" s="2" t="s">
        <v>34</v>
      </c>
    </row>
    <row r="577" spans="1:21" ht="75" x14ac:dyDescent="0.25">
      <c r="A577" s="2">
        <v>61</v>
      </c>
      <c r="B577" s="2" t="s">
        <v>2419</v>
      </c>
      <c r="C577" s="2" t="s">
        <v>56</v>
      </c>
      <c r="D577" s="2" t="s">
        <v>102</v>
      </c>
      <c r="E577" s="2" t="s">
        <v>2351</v>
      </c>
      <c r="F577" s="2" t="s">
        <v>59</v>
      </c>
      <c r="G577" s="2">
        <f>91-421-4310000</f>
        <v>-4310330</v>
      </c>
      <c r="H577" s="3" t="s">
        <v>2420</v>
      </c>
      <c r="I577" s="3" t="s">
        <v>2421</v>
      </c>
      <c r="J577" s="2" t="s">
        <v>2351</v>
      </c>
      <c r="K577" s="2"/>
      <c r="L577" s="2" t="s">
        <v>2422</v>
      </c>
      <c r="M577" s="2"/>
      <c r="N577" s="2"/>
      <c r="O577" s="2"/>
      <c r="P577" s="2" t="s">
        <v>31</v>
      </c>
      <c r="Q577" s="4">
        <v>45971</v>
      </c>
      <c r="R577" s="2"/>
      <c r="S577" s="2">
        <v>1</v>
      </c>
      <c r="T577" s="2" t="s">
        <v>2393</v>
      </c>
      <c r="U577" s="2" t="s">
        <v>34</v>
      </c>
    </row>
    <row r="578" spans="1:21" ht="75" x14ac:dyDescent="0.25">
      <c r="A578" s="2">
        <v>61</v>
      </c>
      <c r="B578" s="2" t="s">
        <v>2423</v>
      </c>
      <c r="C578" s="2" t="s">
        <v>426</v>
      </c>
      <c r="D578" s="2" t="s">
        <v>102</v>
      </c>
      <c r="E578" s="2" t="s">
        <v>2351</v>
      </c>
      <c r="F578" s="2" t="s">
        <v>655</v>
      </c>
      <c r="G578" s="2"/>
      <c r="H578" s="2"/>
      <c r="I578" s="2"/>
      <c r="J578" s="2" t="s">
        <v>2351</v>
      </c>
      <c r="K578" s="2"/>
      <c r="L578" s="2" t="s">
        <v>2424</v>
      </c>
      <c r="M578" s="2"/>
      <c r="N578" s="2"/>
      <c r="O578" s="2"/>
      <c r="P578" s="2" t="s">
        <v>31</v>
      </c>
      <c r="Q578" s="4">
        <v>45982</v>
      </c>
      <c r="R578" s="2" t="s">
        <v>2425</v>
      </c>
      <c r="S578" s="2">
        <v>1</v>
      </c>
      <c r="T578" s="2" t="s">
        <v>2393</v>
      </c>
      <c r="U578" s="2" t="s">
        <v>34</v>
      </c>
    </row>
    <row r="579" spans="1:21" ht="75" x14ac:dyDescent="0.25">
      <c r="A579" s="2">
        <v>61</v>
      </c>
      <c r="B579" s="2" t="s">
        <v>2426</v>
      </c>
      <c r="C579" s="2" t="s">
        <v>426</v>
      </c>
      <c r="D579" s="2" t="s">
        <v>841</v>
      </c>
      <c r="E579" s="2" t="s">
        <v>1325</v>
      </c>
      <c r="F579" s="2" t="s">
        <v>655</v>
      </c>
      <c r="G579" s="2"/>
      <c r="H579" s="2"/>
      <c r="I579" s="2"/>
      <c r="J579" s="2" t="s">
        <v>1325</v>
      </c>
      <c r="K579" s="2"/>
      <c r="L579" s="2" t="s">
        <v>2427</v>
      </c>
      <c r="M579" s="2"/>
      <c r="N579" s="2"/>
      <c r="O579" s="2"/>
      <c r="P579" s="2" t="s">
        <v>31</v>
      </c>
      <c r="Q579" s="4">
        <v>45982</v>
      </c>
      <c r="R579" s="2"/>
      <c r="S579" s="2">
        <v>1</v>
      </c>
      <c r="T579" s="2" t="s">
        <v>2393</v>
      </c>
      <c r="U579" s="2" t="s">
        <v>34</v>
      </c>
    </row>
    <row r="580" spans="1:21" ht="150" x14ac:dyDescent="0.25">
      <c r="A580" s="2">
        <v>61</v>
      </c>
      <c r="B580" s="2" t="s">
        <v>2428</v>
      </c>
      <c r="C580" s="2" t="s">
        <v>119</v>
      </c>
      <c r="D580" s="2" t="s">
        <v>23</v>
      </c>
      <c r="E580" s="2" t="s">
        <v>24</v>
      </c>
      <c r="F580" s="2" t="s">
        <v>49</v>
      </c>
      <c r="G580" s="2">
        <f>91-11-26542000</f>
        <v>-26541920</v>
      </c>
      <c r="H580" s="2"/>
      <c r="I580" s="3" t="s">
        <v>2304</v>
      </c>
      <c r="J580" s="2" t="s">
        <v>2429</v>
      </c>
      <c r="K580" s="2"/>
      <c r="L580" s="2" t="s">
        <v>2430</v>
      </c>
      <c r="M580" s="2"/>
      <c r="N580" s="2"/>
      <c r="O580" s="2"/>
      <c r="P580" s="2" t="s">
        <v>31</v>
      </c>
      <c r="Q580" s="4">
        <v>45982</v>
      </c>
      <c r="R580" s="2"/>
      <c r="S580" s="2">
        <v>1</v>
      </c>
      <c r="T580" s="2" t="s">
        <v>2393</v>
      </c>
      <c r="U580" s="2" t="s">
        <v>34</v>
      </c>
    </row>
    <row r="581" spans="1:21" ht="45" x14ac:dyDescent="0.25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1" t="s">
        <v>11</v>
      </c>
      <c r="M581" s="1" t="s">
        <v>12</v>
      </c>
      <c r="N581" s="1" t="s">
        <v>13</v>
      </c>
      <c r="O581" s="1" t="s">
        <v>14</v>
      </c>
      <c r="P581" s="1" t="s">
        <v>15</v>
      </c>
      <c r="Q581" s="1" t="s">
        <v>16</v>
      </c>
      <c r="R581" s="1" t="s">
        <v>17</v>
      </c>
      <c r="S581" s="1" t="s">
        <v>18</v>
      </c>
      <c r="T581" s="1" t="s">
        <v>19</v>
      </c>
      <c r="U581" s="1" t="s">
        <v>20</v>
      </c>
    </row>
    <row r="582" spans="1:21" ht="90" x14ac:dyDescent="0.25">
      <c r="A582" s="2">
        <v>62</v>
      </c>
      <c r="B582" s="2" t="s">
        <v>2387</v>
      </c>
      <c r="C582" s="2" t="s">
        <v>22</v>
      </c>
      <c r="D582" s="2" t="s">
        <v>23</v>
      </c>
      <c r="E582" s="2" t="s">
        <v>24</v>
      </c>
      <c r="F582" s="2" t="s">
        <v>25</v>
      </c>
      <c r="G582" s="2">
        <f>91-11-26115841</f>
        <v>-26115761</v>
      </c>
      <c r="H582" s="3" t="s">
        <v>2388</v>
      </c>
      <c r="I582" s="3" t="s">
        <v>2389</v>
      </c>
      <c r="J582" s="2" t="s">
        <v>2431</v>
      </c>
      <c r="K582" s="2"/>
      <c r="L582" s="2"/>
      <c r="M582" s="2" t="s">
        <v>2432</v>
      </c>
      <c r="N582" s="2"/>
      <c r="O582" s="2"/>
      <c r="P582" s="2" t="s">
        <v>31</v>
      </c>
      <c r="Q582" s="4">
        <v>45982</v>
      </c>
      <c r="R582" s="2" t="s">
        <v>2433</v>
      </c>
      <c r="S582" s="2">
        <v>1</v>
      </c>
      <c r="T582" s="2" t="s">
        <v>2434</v>
      </c>
      <c r="U582" s="2" t="s">
        <v>34</v>
      </c>
    </row>
    <row r="583" spans="1:21" ht="105" x14ac:dyDescent="0.25">
      <c r="A583" s="2">
        <v>62</v>
      </c>
      <c r="B583" s="2" t="s">
        <v>2435</v>
      </c>
      <c r="C583" s="2" t="s">
        <v>22</v>
      </c>
      <c r="D583" s="2" t="s">
        <v>36</v>
      </c>
      <c r="E583" s="2" t="s">
        <v>526</v>
      </c>
      <c r="F583" s="2" t="s">
        <v>476</v>
      </c>
      <c r="G583" s="2">
        <f>91-22-66661688</f>
        <v>-66661619</v>
      </c>
      <c r="H583" s="3" t="s">
        <v>2436</v>
      </c>
      <c r="I583" s="3" t="s">
        <v>2437</v>
      </c>
      <c r="J583" s="2" t="s">
        <v>526</v>
      </c>
      <c r="K583" s="2"/>
      <c r="L583" s="2"/>
      <c r="M583" s="2"/>
      <c r="N583" s="2"/>
      <c r="O583" s="2"/>
      <c r="P583" s="2" t="s">
        <v>31</v>
      </c>
      <c r="Q583" s="4">
        <v>45982</v>
      </c>
      <c r="R583" s="2" t="s">
        <v>2438</v>
      </c>
      <c r="S583" s="2">
        <v>1</v>
      </c>
      <c r="T583" s="2" t="s">
        <v>2434</v>
      </c>
      <c r="U583" s="2" t="s">
        <v>34</v>
      </c>
    </row>
    <row r="584" spans="1:21" ht="90" x14ac:dyDescent="0.25">
      <c r="A584" s="2">
        <v>62</v>
      </c>
      <c r="B584" s="2" t="s">
        <v>2396</v>
      </c>
      <c r="C584" s="2" t="s">
        <v>56</v>
      </c>
      <c r="D584" s="2" t="s">
        <v>298</v>
      </c>
      <c r="E584" s="2" t="s">
        <v>299</v>
      </c>
      <c r="F584" s="2" t="s">
        <v>59</v>
      </c>
      <c r="G584" s="2">
        <f>91-80-67666666</f>
        <v>-67666655</v>
      </c>
      <c r="H584" s="3" t="s">
        <v>2397</v>
      </c>
      <c r="I584" s="3" t="s">
        <v>2374</v>
      </c>
      <c r="J584" s="2" t="s">
        <v>2439</v>
      </c>
      <c r="K584" s="2"/>
      <c r="L584" s="2" t="s">
        <v>2440</v>
      </c>
      <c r="M584" s="2"/>
      <c r="N584" s="2"/>
      <c r="O584" s="2"/>
      <c r="P584" s="2" t="s">
        <v>31</v>
      </c>
      <c r="Q584" s="4">
        <v>45971</v>
      </c>
      <c r="R584" s="2" t="s">
        <v>2400</v>
      </c>
      <c r="S584" s="2">
        <v>1</v>
      </c>
      <c r="T584" s="2" t="s">
        <v>2434</v>
      </c>
      <c r="U584" s="2" t="s">
        <v>34</v>
      </c>
    </row>
    <row r="585" spans="1:21" ht="75" x14ac:dyDescent="0.25">
      <c r="A585" s="2">
        <v>62</v>
      </c>
      <c r="B585" s="2" t="s">
        <v>2441</v>
      </c>
      <c r="C585" s="2" t="s">
        <v>56</v>
      </c>
      <c r="D585" s="2" t="s">
        <v>153</v>
      </c>
      <c r="E585" s="2" t="s">
        <v>355</v>
      </c>
      <c r="F585" s="2" t="s">
        <v>59</v>
      </c>
      <c r="G585" s="2">
        <f>91-79-68268000</f>
        <v>-68267988</v>
      </c>
      <c r="H585" s="3" t="s">
        <v>2442</v>
      </c>
      <c r="I585" s="3" t="s">
        <v>2443</v>
      </c>
      <c r="J585" s="2" t="s">
        <v>2444</v>
      </c>
      <c r="K585" s="2"/>
      <c r="L585" s="2" t="s">
        <v>2445</v>
      </c>
      <c r="M585" s="2"/>
      <c r="N585" s="2"/>
      <c r="O585" s="2"/>
      <c r="P585" s="2" t="s">
        <v>31</v>
      </c>
      <c r="Q585" s="4">
        <v>45971</v>
      </c>
      <c r="R585" s="2" t="s">
        <v>2446</v>
      </c>
      <c r="S585" s="2">
        <v>1</v>
      </c>
      <c r="T585" s="2" t="s">
        <v>2434</v>
      </c>
      <c r="U585" s="2" t="s">
        <v>34</v>
      </c>
    </row>
    <row r="586" spans="1:21" ht="60" x14ac:dyDescent="0.25">
      <c r="A586" s="2">
        <v>62</v>
      </c>
      <c r="B586" s="2" t="s">
        <v>2447</v>
      </c>
      <c r="C586" s="2" t="s">
        <v>56</v>
      </c>
      <c r="D586" s="2" t="s">
        <v>36</v>
      </c>
      <c r="E586" s="2" t="s">
        <v>2448</v>
      </c>
      <c r="F586" s="2" t="s">
        <v>59</v>
      </c>
      <c r="G586" s="2">
        <f>91-22-61527000</f>
        <v>-61526931</v>
      </c>
      <c r="H586" s="3" t="s">
        <v>2449</v>
      </c>
      <c r="I586" s="3" t="s">
        <v>2450</v>
      </c>
      <c r="J586" s="2" t="s">
        <v>2451</v>
      </c>
      <c r="K586" s="2"/>
      <c r="L586" s="2" t="s">
        <v>2452</v>
      </c>
      <c r="M586" s="2"/>
      <c r="N586" s="2"/>
      <c r="O586" s="2"/>
      <c r="P586" s="2" t="s">
        <v>31</v>
      </c>
      <c r="Q586" s="4">
        <v>45971</v>
      </c>
      <c r="R586" s="2"/>
      <c r="S586" s="2">
        <v>1</v>
      </c>
      <c r="T586" s="2" t="s">
        <v>2434</v>
      </c>
      <c r="U586" s="2" t="s">
        <v>34</v>
      </c>
    </row>
    <row r="587" spans="1:21" ht="75" x14ac:dyDescent="0.25">
      <c r="A587" s="2">
        <v>62</v>
      </c>
      <c r="B587" s="2" t="s">
        <v>2401</v>
      </c>
      <c r="C587" s="2" t="s">
        <v>56</v>
      </c>
      <c r="D587" s="2" t="s">
        <v>298</v>
      </c>
      <c r="E587" s="2" t="s">
        <v>299</v>
      </c>
      <c r="F587" s="2" t="s">
        <v>59</v>
      </c>
      <c r="G587" s="2">
        <f>91-80-68971800</f>
        <v>-68971789</v>
      </c>
      <c r="H587" s="3" t="s">
        <v>2402</v>
      </c>
      <c r="I587" s="3" t="s">
        <v>2403</v>
      </c>
      <c r="J587" s="2" t="s">
        <v>2404</v>
      </c>
      <c r="K587" s="2"/>
      <c r="L587" s="2" t="s">
        <v>2453</v>
      </c>
      <c r="M587" s="2"/>
      <c r="N587" s="2"/>
      <c r="O587" s="2"/>
      <c r="P587" s="2" t="s">
        <v>31</v>
      </c>
      <c r="Q587" s="4">
        <v>45971</v>
      </c>
      <c r="R587" s="2"/>
      <c r="S587" s="2">
        <v>1</v>
      </c>
      <c r="T587" s="2" t="s">
        <v>2434</v>
      </c>
      <c r="U587" s="2" t="s">
        <v>34</v>
      </c>
    </row>
    <row r="588" spans="1:21" ht="90" x14ac:dyDescent="0.25">
      <c r="A588" s="2">
        <v>62</v>
      </c>
      <c r="B588" s="2" t="s">
        <v>2409</v>
      </c>
      <c r="C588" s="2" t="s">
        <v>56</v>
      </c>
      <c r="D588" s="2" t="s">
        <v>321</v>
      </c>
      <c r="E588" s="2" t="s">
        <v>491</v>
      </c>
      <c r="F588" s="2" t="s">
        <v>59</v>
      </c>
      <c r="G588" s="2">
        <f>91-124-4676000</f>
        <v>-4676033</v>
      </c>
      <c r="H588" s="3" t="s">
        <v>2410</v>
      </c>
      <c r="I588" s="3" t="s">
        <v>2411</v>
      </c>
      <c r="J588" s="2" t="s">
        <v>2412</v>
      </c>
      <c r="K588" s="2"/>
      <c r="L588" s="2" t="s">
        <v>2454</v>
      </c>
      <c r="M588" s="2"/>
      <c r="N588" s="2"/>
      <c r="O588" s="2"/>
      <c r="P588" s="2" t="s">
        <v>31</v>
      </c>
      <c r="Q588" s="4">
        <v>45971</v>
      </c>
      <c r="R588" s="2"/>
      <c r="S588" s="2">
        <v>1</v>
      </c>
      <c r="T588" s="2" t="s">
        <v>2434</v>
      </c>
      <c r="U588" s="2" t="s">
        <v>34</v>
      </c>
    </row>
    <row r="589" spans="1:21" ht="60" x14ac:dyDescent="0.25">
      <c r="A589" s="2">
        <v>62</v>
      </c>
      <c r="B589" s="2" t="s">
        <v>2455</v>
      </c>
      <c r="C589" s="2" t="s">
        <v>56</v>
      </c>
      <c r="D589" s="2" t="s">
        <v>321</v>
      </c>
      <c r="E589" s="2" t="s">
        <v>491</v>
      </c>
      <c r="F589" s="2" t="s">
        <v>59</v>
      </c>
      <c r="G589" s="2">
        <f>91-124-4679000</f>
        <v>-4679033</v>
      </c>
      <c r="H589" s="3" t="s">
        <v>2456</v>
      </c>
      <c r="I589" s="3" t="s">
        <v>2457</v>
      </c>
      <c r="J589" s="2" t="s">
        <v>491</v>
      </c>
      <c r="K589" s="2"/>
      <c r="L589" s="2" t="s">
        <v>2458</v>
      </c>
      <c r="M589" s="2"/>
      <c r="N589" s="2"/>
      <c r="O589" s="2"/>
      <c r="P589" s="2" t="s">
        <v>31</v>
      </c>
      <c r="Q589" s="4">
        <v>45971</v>
      </c>
      <c r="R589" s="2"/>
      <c r="S589" s="2">
        <v>1</v>
      </c>
      <c r="T589" s="2" t="s">
        <v>2434</v>
      </c>
      <c r="U589" s="2" t="s">
        <v>34</v>
      </c>
    </row>
    <row r="590" spans="1:21" ht="60" x14ac:dyDescent="0.25">
      <c r="A590" s="2">
        <v>62</v>
      </c>
      <c r="B590" s="2" t="s">
        <v>2414</v>
      </c>
      <c r="C590" s="2" t="s">
        <v>56</v>
      </c>
      <c r="D590" s="2" t="s">
        <v>321</v>
      </c>
      <c r="E590" s="2" t="s">
        <v>491</v>
      </c>
      <c r="F590" s="2" t="s">
        <v>59</v>
      </c>
      <c r="G590" s="2">
        <f>91-124-4651000</f>
        <v>-4651033</v>
      </c>
      <c r="H590" s="3" t="s">
        <v>2415</v>
      </c>
      <c r="I590" s="3" t="s">
        <v>2416</v>
      </c>
      <c r="J590" s="2" t="s">
        <v>2417</v>
      </c>
      <c r="K590" s="2"/>
      <c r="L590" s="2" t="s">
        <v>2459</v>
      </c>
      <c r="M590" s="2"/>
      <c r="N590" s="2"/>
      <c r="O590" s="2"/>
      <c r="P590" s="2" t="s">
        <v>31</v>
      </c>
      <c r="Q590" s="4">
        <v>45971</v>
      </c>
      <c r="R590" s="2"/>
      <c r="S590" s="2">
        <v>1</v>
      </c>
      <c r="T590" s="2" t="s">
        <v>2434</v>
      </c>
      <c r="U590" s="2" t="s">
        <v>34</v>
      </c>
    </row>
    <row r="591" spans="1:21" ht="75" x14ac:dyDescent="0.25">
      <c r="A591" s="2">
        <v>62</v>
      </c>
      <c r="B591" s="2" t="s">
        <v>2460</v>
      </c>
      <c r="C591" s="2" t="s">
        <v>426</v>
      </c>
      <c r="D591" s="2" t="s">
        <v>57</v>
      </c>
      <c r="E591" s="2" t="s">
        <v>2461</v>
      </c>
      <c r="F591" s="2" t="s">
        <v>655</v>
      </c>
      <c r="G591" s="2">
        <f>91-120-2436000</f>
        <v>-2436029</v>
      </c>
      <c r="H591" s="3" t="s">
        <v>2462</v>
      </c>
      <c r="I591" s="3" t="s">
        <v>2463</v>
      </c>
      <c r="J591" s="2" t="s">
        <v>2464</v>
      </c>
      <c r="K591" s="2"/>
      <c r="L591" s="2" t="s">
        <v>2465</v>
      </c>
      <c r="M591" s="2"/>
      <c r="N591" s="2"/>
      <c r="O591" s="2"/>
      <c r="P591" s="2" t="s">
        <v>31</v>
      </c>
      <c r="Q591" s="4">
        <v>45982</v>
      </c>
      <c r="R591" s="2" t="s">
        <v>2466</v>
      </c>
      <c r="S591" s="2">
        <v>1</v>
      </c>
      <c r="T591" s="2" t="s">
        <v>2434</v>
      </c>
      <c r="U591" s="2" t="s">
        <v>34</v>
      </c>
    </row>
    <row r="592" spans="1:21" ht="90" x14ac:dyDescent="0.25">
      <c r="A592" s="2">
        <v>62</v>
      </c>
      <c r="B592" s="2" t="s">
        <v>2467</v>
      </c>
      <c r="C592" s="2" t="s">
        <v>426</v>
      </c>
      <c r="D592" s="2" t="s">
        <v>298</v>
      </c>
      <c r="E592" s="2" t="s">
        <v>299</v>
      </c>
      <c r="F592" s="2" t="s">
        <v>655</v>
      </c>
      <c r="G592" s="2"/>
      <c r="H592" s="2"/>
      <c r="I592" s="2"/>
      <c r="J592" s="2" t="s">
        <v>299</v>
      </c>
      <c r="K592" s="2"/>
      <c r="L592" s="2" t="s">
        <v>2468</v>
      </c>
      <c r="M592" s="2"/>
      <c r="N592" s="2"/>
      <c r="O592" s="2"/>
      <c r="P592" s="2" t="s">
        <v>31</v>
      </c>
      <c r="Q592" s="4">
        <v>45982</v>
      </c>
      <c r="R592" s="2"/>
      <c r="S592" s="2">
        <v>1</v>
      </c>
      <c r="T592" s="2" t="s">
        <v>2434</v>
      </c>
      <c r="U592" s="2" t="s">
        <v>34</v>
      </c>
    </row>
    <row r="593" spans="1:21" ht="150" x14ac:dyDescent="0.25">
      <c r="A593" s="2">
        <v>62</v>
      </c>
      <c r="B593" s="2" t="s">
        <v>2469</v>
      </c>
      <c r="C593" s="2" t="s">
        <v>119</v>
      </c>
      <c r="D593" s="2" t="s">
        <v>23</v>
      </c>
      <c r="E593" s="2" t="s">
        <v>24</v>
      </c>
      <c r="F593" s="2" t="s">
        <v>49</v>
      </c>
      <c r="G593" s="2">
        <f>91-11-26542000</f>
        <v>-26541920</v>
      </c>
      <c r="H593" s="2"/>
      <c r="I593" s="3" t="s">
        <v>2304</v>
      </c>
      <c r="J593" s="2" t="s">
        <v>2429</v>
      </c>
      <c r="K593" s="2"/>
      <c r="L593" s="2" t="s">
        <v>2470</v>
      </c>
      <c r="M593" s="2"/>
      <c r="N593" s="2"/>
      <c r="O593" s="2"/>
      <c r="P593" s="2" t="s">
        <v>31</v>
      </c>
      <c r="Q593" s="4">
        <v>45982</v>
      </c>
      <c r="R593" s="2"/>
      <c r="S593" s="2">
        <v>1</v>
      </c>
      <c r="T593" s="2" t="s">
        <v>2434</v>
      </c>
      <c r="U593" s="2" t="s">
        <v>34</v>
      </c>
    </row>
    <row r="594" spans="1:21" ht="45" x14ac:dyDescent="0.25">
      <c r="A594" s="1" t="s">
        <v>0</v>
      </c>
      <c r="B594" s="1" t="s">
        <v>1</v>
      </c>
      <c r="C594" s="1" t="s">
        <v>2</v>
      </c>
      <c r="D594" s="1" t="s">
        <v>3</v>
      </c>
      <c r="E594" s="1" t="s">
        <v>4</v>
      </c>
      <c r="F594" s="1" t="s">
        <v>5</v>
      </c>
      <c r="G594" s="1" t="s">
        <v>6</v>
      </c>
      <c r="H594" s="1" t="s">
        <v>7</v>
      </c>
      <c r="I594" s="1" t="s">
        <v>8</v>
      </c>
      <c r="J594" s="1" t="s">
        <v>9</v>
      </c>
      <c r="K594" s="1" t="s">
        <v>10</v>
      </c>
      <c r="L594" s="1" t="s">
        <v>11</v>
      </c>
      <c r="M594" s="1" t="s">
        <v>12</v>
      </c>
      <c r="N594" s="1" t="s">
        <v>13</v>
      </c>
      <c r="O594" s="1" t="s">
        <v>14</v>
      </c>
      <c r="P594" s="1" t="s">
        <v>15</v>
      </c>
      <c r="Q594" s="1" t="s">
        <v>16</v>
      </c>
      <c r="R594" s="1" t="s">
        <v>17</v>
      </c>
      <c r="S594" s="1" t="s">
        <v>18</v>
      </c>
      <c r="T594" s="1" t="s">
        <v>19</v>
      </c>
      <c r="U594" s="1" t="s">
        <v>20</v>
      </c>
    </row>
    <row r="595" spans="1:21" ht="105" x14ac:dyDescent="0.25">
      <c r="A595" s="2">
        <v>63</v>
      </c>
      <c r="B595" s="2" t="s">
        <v>2471</v>
      </c>
      <c r="C595" s="2" t="s">
        <v>22</v>
      </c>
      <c r="D595" s="2" t="s">
        <v>102</v>
      </c>
      <c r="E595" s="2" t="s">
        <v>158</v>
      </c>
      <c r="F595" s="2" t="s">
        <v>897</v>
      </c>
      <c r="G595" s="2">
        <f>91-44-28278879</f>
        <v>-28278832</v>
      </c>
      <c r="H595" s="3" t="s">
        <v>2472</v>
      </c>
      <c r="I595" s="3" t="s">
        <v>2473</v>
      </c>
      <c r="J595" s="2" t="s">
        <v>158</v>
      </c>
      <c r="K595" s="2"/>
      <c r="L595" s="2"/>
      <c r="M595" s="2" t="s">
        <v>2474</v>
      </c>
      <c r="N595" s="2"/>
      <c r="O595" s="2"/>
      <c r="P595" s="2" t="s">
        <v>31</v>
      </c>
      <c r="Q595" s="4">
        <v>45982</v>
      </c>
      <c r="R595" s="2" t="s">
        <v>2475</v>
      </c>
      <c r="S595" s="2">
        <v>1</v>
      </c>
      <c r="T595" s="2" t="s">
        <v>2476</v>
      </c>
      <c r="U595" s="2" t="s">
        <v>34</v>
      </c>
    </row>
    <row r="596" spans="1:21" ht="150" x14ac:dyDescent="0.25">
      <c r="A596" s="2">
        <v>63</v>
      </c>
      <c r="B596" s="2" t="s">
        <v>2279</v>
      </c>
      <c r="C596" s="2" t="s">
        <v>22</v>
      </c>
      <c r="D596" s="2" t="s">
        <v>36</v>
      </c>
      <c r="E596" s="2" t="s">
        <v>526</v>
      </c>
      <c r="F596" s="2" t="s">
        <v>25</v>
      </c>
      <c r="G596" s="2">
        <f>91-22-22041800</f>
        <v>-22041731</v>
      </c>
      <c r="H596" s="3" t="s">
        <v>2280</v>
      </c>
      <c r="I596" s="3" t="s">
        <v>2281</v>
      </c>
      <c r="J596" s="2" t="s">
        <v>526</v>
      </c>
      <c r="K596" s="2"/>
      <c r="L596" s="2"/>
      <c r="M596" s="2" t="s">
        <v>2477</v>
      </c>
      <c r="N596" s="2"/>
      <c r="O596" s="2"/>
      <c r="P596" s="2" t="s">
        <v>31</v>
      </c>
      <c r="Q596" s="4">
        <v>45982</v>
      </c>
      <c r="R596" s="2"/>
      <c r="S596" s="2">
        <v>1</v>
      </c>
      <c r="T596" s="2" t="s">
        <v>2476</v>
      </c>
      <c r="U596" s="2" t="s">
        <v>34</v>
      </c>
    </row>
    <row r="597" spans="1:21" ht="105" x14ac:dyDescent="0.25">
      <c r="A597" s="2">
        <v>63</v>
      </c>
      <c r="B597" s="2" t="s">
        <v>2478</v>
      </c>
      <c r="C597" s="2" t="s">
        <v>56</v>
      </c>
      <c r="D597" s="2" t="s">
        <v>153</v>
      </c>
      <c r="E597" s="2" t="s">
        <v>1860</v>
      </c>
      <c r="F597" s="2" t="s">
        <v>59</v>
      </c>
      <c r="G597" s="2">
        <f>91-260-2430000</f>
        <v>-2430169</v>
      </c>
      <c r="H597" s="3" t="s">
        <v>2479</v>
      </c>
      <c r="I597" s="3" t="s">
        <v>2057</v>
      </c>
      <c r="J597" s="2" t="s">
        <v>2058</v>
      </c>
      <c r="K597" s="2"/>
      <c r="L597" s="2" t="s">
        <v>2480</v>
      </c>
      <c r="M597" s="2"/>
      <c r="N597" s="2"/>
      <c r="O597" s="2"/>
      <c r="P597" s="2" t="s">
        <v>31</v>
      </c>
      <c r="Q597" s="4">
        <v>45971</v>
      </c>
      <c r="R597" s="2" t="s">
        <v>2481</v>
      </c>
      <c r="S597" s="2">
        <v>1</v>
      </c>
      <c r="T597" s="2" t="s">
        <v>2476</v>
      </c>
      <c r="U597" s="2" t="s">
        <v>34</v>
      </c>
    </row>
    <row r="598" spans="1:21" ht="90" x14ac:dyDescent="0.25">
      <c r="A598" s="2">
        <v>63</v>
      </c>
      <c r="B598" s="2" t="s">
        <v>2036</v>
      </c>
      <c r="C598" s="2" t="s">
        <v>56</v>
      </c>
      <c r="D598" s="2" t="s">
        <v>841</v>
      </c>
      <c r="E598" s="2" t="s">
        <v>2037</v>
      </c>
      <c r="F598" s="2" t="s">
        <v>59</v>
      </c>
      <c r="G598" s="2">
        <f>91-1679-222000</f>
        <v>-223588</v>
      </c>
      <c r="H598" s="3" t="s">
        <v>2038</v>
      </c>
      <c r="I598" s="3" t="s">
        <v>2039</v>
      </c>
      <c r="J598" s="2" t="s">
        <v>2040</v>
      </c>
      <c r="K598" s="2"/>
      <c r="L598" s="2" t="s">
        <v>2482</v>
      </c>
      <c r="M598" s="2"/>
      <c r="N598" s="2"/>
      <c r="O598" s="2"/>
      <c r="P598" s="2" t="s">
        <v>31</v>
      </c>
      <c r="Q598" s="4">
        <v>45971</v>
      </c>
      <c r="R598" s="2"/>
      <c r="S598" s="2">
        <v>1</v>
      </c>
      <c r="T598" s="2" t="s">
        <v>2476</v>
      </c>
      <c r="U598" s="2" t="s">
        <v>34</v>
      </c>
    </row>
    <row r="599" spans="1:21" ht="90" x14ac:dyDescent="0.25">
      <c r="A599" s="2">
        <v>63</v>
      </c>
      <c r="B599" s="2" t="s">
        <v>2483</v>
      </c>
      <c r="C599" s="2" t="s">
        <v>56</v>
      </c>
      <c r="D599" s="2" t="s">
        <v>298</v>
      </c>
      <c r="E599" s="2" t="s">
        <v>299</v>
      </c>
      <c r="F599" s="2" t="s">
        <v>59</v>
      </c>
      <c r="G599" s="2">
        <f>91-80-22332000</f>
        <v>-22331989</v>
      </c>
      <c r="H599" s="3" t="s">
        <v>2484</v>
      </c>
      <c r="I599" s="3" t="s">
        <v>2485</v>
      </c>
      <c r="J599" s="2" t="s">
        <v>2486</v>
      </c>
      <c r="K599" s="2"/>
      <c r="L599" s="2" t="s">
        <v>2487</v>
      </c>
      <c r="M599" s="2"/>
      <c r="N599" s="2"/>
      <c r="O599" s="2"/>
      <c r="P599" s="2" t="s">
        <v>31</v>
      </c>
      <c r="Q599" s="4">
        <v>45971</v>
      </c>
      <c r="R599" s="2" t="s">
        <v>2488</v>
      </c>
      <c r="S599" s="2">
        <v>1</v>
      </c>
      <c r="T599" s="2" t="s">
        <v>2476</v>
      </c>
      <c r="U599" s="2" t="s">
        <v>34</v>
      </c>
    </row>
    <row r="600" spans="1:21" ht="60" x14ac:dyDescent="0.25">
      <c r="A600" s="2">
        <v>63</v>
      </c>
      <c r="B600" s="2" t="s">
        <v>2489</v>
      </c>
      <c r="C600" s="2" t="s">
        <v>56</v>
      </c>
      <c r="D600" s="2" t="s">
        <v>36</v>
      </c>
      <c r="E600" s="2" t="s">
        <v>2490</v>
      </c>
      <c r="F600" s="2" t="s">
        <v>59</v>
      </c>
      <c r="G600" s="2">
        <f>91-231-2684800</f>
        <v>-2684940</v>
      </c>
      <c r="H600" s="3" t="s">
        <v>2491</v>
      </c>
      <c r="I600" s="3" t="s">
        <v>2492</v>
      </c>
      <c r="J600" s="2" t="s">
        <v>2490</v>
      </c>
      <c r="K600" s="2"/>
      <c r="L600" s="2" t="s">
        <v>2493</v>
      </c>
      <c r="M600" s="2"/>
      <c r="N600" s="2"/>
      <c r="O600" s="2"/>
      <c r="P600" s="2" t="s">
        <v>31</v>
      </c>
      <c r="Q600" s="4">
        <v>45971</v>
      </c>
      <c r="R600" s="2"/>
      <c r="S600" s="2">
        <v>1</v>
      </c>
      <c r="T600" s="2" t="s">
        <v>2476</v>
      </c>
      <c r="U600" s="2" t="s">
        <v>34</v>
      </c>
    </row>
    <row r="601" spans="1:21" ht="60" x14ac:dyDescent="0.25">
      <c r="A601" s="2">
        <v>63</v>
      </c>
      <c r="B601" s="2" t="s">
        <v>2494</v>
      </c>
      <c r="C601" s="2" t="s">
        <v>56</v>
      </c>
      <c r="D601" s="2" t="s">
        <v>153</v>
      </c>
      <c r="E601" s="2" t="s">
        <v>1860</v>
      </c>
      <c r="F601" s="2" t="s">
        <v>59</v>
      </c>
      <c r="G601" s="2">
        <f>91-260-2430000</f>
        <v>-2430169</v>
      </c>
      <c r="H601" s="3" t="s">
        <v>2495</v>
      </c>
      <c r="I601" s="3" t="s">
        <v>2496</v>
      </c>
      <c r="J601" s="2" t="s">
        <v>1860</v>
      </c>
      <c r="K601" s="2"/>
      <c r="L601" s="2" t="s">
        <v>2497</v>
      </c>
      <c r="M601" s="2"/>
      <c r="N601" s="2"/>
      <c r="O601" s="2"/>
      <c r="P601" s="2" t="s">
        <v>31</v>
      </c>
      <c r="Q601" s="4">
        <v>45971</v>
      </c>
      <c r="R601" s="2"/>
      <c r="S601" s="2">
        <v>1</v>
      </c>
      <c r="T601" s="2" t="s">
        <v>2476</v>
      </c>
      <c r="U601" s="2" t="s">
        <v>34</v>
      </c>
    </row>
    <row r="602" spans="1:21" ht="105" x14ac:dyDescent="0.25">
      <c r="A602" s="2">
        <v>63</v>
      </c>
      <c r="B602" s="2" t="s">
        <v>2498</v>
      </c>
      <c r="C602" s="2" t="s">
        <v>56</v>
      </c>
      <c r="D602" s="2" t="s">
        <v>841</v>
      </c>
      <c r="E602" s="2" t="s">
        <v>2037</v>
      </c>
      <c r="F602" s="2" t="s">
        <v>59</v>
      </c>
      <c r="G602" s="2">
        <f>91-1679-222000</f>
        <v>-223588</v>
      </c>
      <c r="H602" s="2"/>
      <c r="I602" s="3" t="s">
        <v>2039</v>
      </c>
      <c r="J602" s="2" t="s">
        <v>2037</v>
      </c>
      <c r="K602" s="2"/>
      <c r="L602" s="2" t="s">
        <v>2499</v>
      </c>
      <c r="M602" s="2"/>
      <c r="N602" s="2"/>
      <c r="O602" s="2"/>
      <c r="P602" s="2" t="s">
        <v>31</v>
      </c>
      <c r="Q602" s="4">
        <v>45971</v>
      </c>
      <c r="R602" s="2"/>
      <c r="S602" s="2">
        <v>1</v>
      </c>
      <c r="T602" s="2" t="s">
        <v>2476</v>
      </c>
      <c r="U602" s="2" t="s">
        <v>34</v>
      </c>
    </row>
    <row r="603" spans="1:21" ht="75" x14ac:dyDescent="0.25">
      <c r="A603" s="2">
        <v>63</v>
      </c>
      <c r="B603" s="2" t="s">
        <v>2500</v>
      </c>
      <c r="C603" s="2" t="s">
        <v>56</v>
      </c>
      <c r="D603" s="2" t="s">
        <v>153</v>
      </c>
      <c r="E603" s="2" t="s">
        <v>2061</v>
      </c>
      <c r="F603" s="2" t="s">
        <v>59</v>
      </c>
      <c r="G603" s="2">
        <f>91-261-2310000</f>
        <v>-2310170</v>
      </c>
      <c r="H603" s="3" t="s">
        <v>2128</v>
      </c>
      <c r="I603" s="3" t="s">
        <v>2129</v>
      </c>
      <c r="J603" s="2" t="s">
        <v>2143</v>
      </c>
      <c r="K603" s="2"/>
      <c r="L603" s="2" t="s">
        <v>2501</v>
      </c>
      <c r="M603" s="2"/>
      <c r="N603" s="2"/>
      <c r="O603" s="2"/>
      <c r="P603" s="2" t="s">
        <v>31</v>
      </c>
      <c r="Q603" s="4">
        <v>45971</v>
      </c>
      <c r="R603" s="2"/>
      <c r="S603" s="2">
        <v>1</v>
      </c>
      <c r="T603" s="2" t="s">
        <v>2476</v>
      </c>
      <c r="U603" s="2" t="s">
        <v>34</v>
      </c>
    </row>
    <row r="604" spans="1:21" ht="105" x14ac:dyDescent="0.25">
      <c r="A604" s="2">
        <v>63</v>
      </c>
      <c r="B604" s="2" t="s">
        <v>2502</v>
      </c>
      <c r="C604" s="2" t="s">
        <v>426</v>
      </c>
      <c r="D604" s="2" t="s">
        <v>321</v>
      </c>
      <c r="E604" s="2" t="s">
        <v>2270</v>
      </c>
      <c r="F604" s="2" t="s">
        <v>655</v>
      </c>
      <c r="G604" s="2"/>
      <c r="H604" s="2"/>
      <c r="I604" s="2"/>
      <c r="J604" s="2" t="s">
        <v>2270</v>
      </c>
      <c r="K604" s="2"/>
      <c r="L604" s="2" t="s">
        <v>2503</v>
      </c>
      <c r="M604" s="2"/>
      <c r="N604" s="2"/>
      <c r="O604" s="2"/>
      <c r="P604" s="2" t="s">
        <v>31</v>
      </c>
      <c r="Q604" s="4">
        <v>45982</v>
      </c>
      <c r="R604" s="2" t="s">
        <v>2504</v>
      </c>
      <c r="S604" s="2">
        <v>1</v>
      </c>
      <c r="T604" s="2" t="s">
        <v>2476</v>
      </c>
      <c r="U604" s="2" t="s">
        <v>34</v>
      </c>
    </row>
    <row r="605" spans="1:21" ht="60" x14ac:dyDescent="0.25">
      <c r="A605" s="2">
        <v>63</v>
      </c>
      <c r="B605" s="2" t="s">
        <v>2505</v>
      </c>
      <c r="C605" s="2" t="s">
        <v>426</v>
      </c>
      <c r="D605" s="2" t="s">
        <v>36</v>
      </c>
      <c r="E605" s="2" t="s">
        <v>611</v>
      </c>
      <c r="F605" s="2" t="s">
        <v>655</v>
      </c>
      <c r="G605" s="2"/>
      <c r="H605" s="2"/>
      <c r="I605" s="2"/>
      <c r="J605" s="2" t="s">
        <v>611</v>
      </c>
      <c r="K605" s="2"/>
      <c r="L605" s="2" t="s">
        <v>2506</v>
      </c>
      <c r="M605" s="2"/>
      <c r="N605" s="2"/>
      <c r="O605" s="2"/>
      <c r="P605" s="2" t="s">
        <v>31</v>
      </c>
      <c r="Q605" s="4">
        <v>45982</v>
      </c>
      <c r="R605" s="2"/>
      <c r="S605" s="2">
        <v>1</v>
      </c>
      <c r="T605" s="2" t="s">
        <v>2476</v>
      </c>
      <c r="U605" s="2" t="s">
        <v>34</v>
      </c>
    </row>
    <row r="606" spans="1:21" ht="105" x14ac:dyDescent="0.25">
      <c r="A606" s="2">
        <v>63</v>
      </c>
      <c r="B606" s="2" t="s">
        <v>2507</v>
      </c>
      <c r="C606" s="2" t="s">
        <v>426</v>
      </c>
      <c r="D606" s="2" t="s">
        <v>102</v>
      </c>
      <c r="E606" s="2" t="s">
        <v>1807</v>
      </c>
      <c r="F606" s="2" t="s">
        <v>655</v>
      </c>
      <c r="G606" s="2"/>
      <c r="H606" s="2"/>
      <c r="I606" s="2"/>
      <c r="J606" s="2" t="s">
        <v>1807</v>
      </c>
      <c r="K606" s="2"/>
      <c r="L606" s="2" t="s">
        <v>2508</v>
      </c>
      <c r="M606" s="2"/>
      <c r="N606" s="2"/>
      <c r="O606" s="2"/>
      <c r="P606" s="2" t="s">
        <v>31</v>
      </c>
      <c r="Q606" s="4">
        <v>45982</v>
      </c>
      <c r="R606" s="2"/>
      <c r="S606" s="2">
        <v>1</v>
      </c>
      <c r="T606" s="2" t="s">
        <v>2476</v>
      </c>
      <c r="U606" s="2" t="s">
        <v>34</v>
      </c>
    </row>
    <row r="607" spans="1:21" ht="90" x14ac:dyDescent="0.25">
      <c r="A607" s="2">
        <v>63</v>
      </c>
      <c r="B607" s="2" t="s">
        <v>2509</v>
      </c>
      <c r="C607" s="2" t="s">
        <v>119</v>
      </c>
      <c r="D607" s="2" t="s">
        <v>36</v>
      </c>
      <c r="E607" s="2" t="s">
        <v>526</v>
      </c>
      <c r="F607" s="2" t="s">
        <v>541</v>
      </c>
      <c r="G607" s="2">
        <f>91-22-66527500</f>
        <v>-66527431</v>
      </c>
      <c r="H607" s="2"/>
      <c r="I607" s="3" t="s">
        <v>2023</v>
      </c>
      <c r="J607" s="2" t="s">
        <v>526</v>
      </c>
      <c r="K607" s="2"/>
      <c r="L607" s="2" t="s">
        <v>2510</v>
      </c>
      <c r="M607" s="2"/>
      <c r="N607" s="2"/>
      <c r="O607" s="2"/>
      <c r="P607" s="2" t="s">
        <v>31</v>
      </c>
      <c r="Q607" s="4">
        <v>45982</v>
      </c>
      <c r="R607" s="2"/>
      <c r="S607" s="2">
        <v>1</v>
      </c>
      <c r="T607" s="2" t="s">
        <v>2476</v>
      </c>
      <c r="U607" s="2" t="s">
        <v>34</v>
      </c>
    </row>
    <row r="608" spans="1:21" ht="45" x14ac:dyDescent="0.25">
      <c r="A608" s="1" t="s">
        <v>0</v>
      </c>
      <c r="B608" s="1" t="s">
        <v>1</v>
      </c>
      <c r="C608" s="1" t="s">
        <v>2</v>
      </c>
      <c r="D608" s="1" t="s">
        <v>3</v>
      </c>
      <c r="E608" s="1" t="s">
        <v>4</v>
      </c>
      <c r="F608" s="1" t="s">
        <v>5</v>
      </c>
      <c r="G608" s="1" t="s">
        <v>6</v>
      </c>
      <c r="H608" s="1" t="s">
        <v>7</v>
      </c>
      <c r="I608" s="1" t="s">
        <v>8</v>
      </c>
      <c r="J608" s="1" t="s">
        <v>9</v>
      </c>
      <c r="K608" s="1" t="s">
        <v>10</v>
      </c>
      <c r="L608" s="1" t="s">
        <v>11</v>
      </c>
      <c r="M608" s="1" t="s">
        <v>12</v>
      </c>
      <c r="N608" s="1" t="s">
        <v>13</v>
      </c>
      <c r="O608" s="1" t="s">
        <v>14</v>
      </c>
      <c r="P608" s="1" t="s">
        <v>15</v>
      </c>
      <c r="Q608" s="1" t="s">
        <v>16</v>
      </c>
      <c r="R608" s="1" t="s">
        <v>17</v>
      </c>
      <c r="S608" s="1" t="s">
        <v>18</v>
      </c>
      <c r="T608" s="1" t="s">
        <v>19</v>
      </c>
      <c r="U608" s="1" t="s">
        <v>20</v>
      </c>
    </row>
    <row r="609" spans="1:21" ht="105" x14ac:dyDescent="0.25">
      <c r="A609" s="2">
        <v>64</v>
      </c>
      <c r="B609" s="2" t="s">
        <v>2511</v>
      </c>
      <c r="C609" s="2" t="s">
        <v>22</v>
      </c>
      <c r="D609" s="2" t="s">
        <v>102</v>
      </c>
      <c r="E609" s="2" t="s">
        <v>158</v>
      </c>
      <c r="F609" s="2" t="s">
        <v>897</v>
      </c>
      <c r="G609" s="2">
        <f>91-44-28594367</f>
        <v>-28594320</v>
      </c>
      <c r="H609" s="3" t="s">
        <v>1532</v>
      </c>
      <c r="I609" s="3" t="s">
        <v>1533</v>
      </c>
      <c r="J609" s="2" t="s">
        <v>158</v>
      </c>
      <c r="K609" s="2"/>
      <c r="L609" s="2"/>
      <c r="M609" s="2" t="s">
        <v>2512</v>
      </c>
      <c r="N609" s="2"/>
      <c r="O609" s="2"/>
      <c r="P609" s="2" t="s">
        <v>31</v>
      </c>
      <c r="Q609" s="4">
        <v>45982</v>
      </c>
      <c r="R609" s="2" t="s">
        <v>2513</v>
      </c>
      <c r="S609" s="2">
        <v>1</v>
      </c>
      <c r="T609" s="2" t="s">
        <v>2514</v>
      </c>
      <c r="U609" s="2" t="s">
        <v>34</v>
      </c>
    </row>
    <row r="610" spans="1:21" ht="120" x14ac:dyDescent="0.25">
      <c r="A610" s="2">
        <v>64</v>
      </c>
      <c r="B610" s="2" t="s">
        <v>2515</v>
      </c>
      <c r="C610" s="2" t="s">
        <v>22</v>
      </c>
      <c r="D610" s="2" t="s">
        <v>57</v>
      </c>
      <c r="E610" s="2" t="s">
        <v>2259</v>
      </c>
      <c r="F610" s="2" t="s">
        <v>25</v>
      </c>
      <c r="G610" s="2">
        <f>91-562-4032222</f>
        <v>-4032693</v>
      </c>
      <c r="H610" s="3" t="s">
        <v>2516</v>
      </c>
      <c r="I610" s="3" t="s">
        <v>2517</v>
      </c>
      <c r="J610" s="2" t="s">
        <v>2259</v>
      </c>
      <c r="K610" s="2"/>
      <c r="L610" s="2"/>
      <c r="M610" s="2" t="s">
        <v>2518</v>
      </c>
      <c r="N610" s="2"/>
      <c r="O610" s="2"/>
      <c r="P610" s="2" t="s">
        <v>31</v>
      </c>
      <c r="Q610" s="4">
        <v>45982</v>
      </c>
      <c r="R610" s="2" t="s">
        <v>2519</v>
      </c>
      <c r="S610" s="2">
        <v>1</v>
      </c>
      <c r="T610" s="2" t="s">
        <v>2514</v>
      </c>
      <c r="U610" s="2" t="s">
        <v>34</v>
      </c>
    </row>
    <row r="611" spans="1:21" ht="90" x14ac:dyDescent="0.25">
      <c r="A611" s="2">
        <v>64</v>
      </c>
      <c r="B611" s="2" t="s">
        <v>2520</v>
      </c>
      <c r="C611" s="2" t="s">
        <v>56</v>
      </c>
      <c r="D611" s="2" t="s">
        <v>147</v>
      </c>
      <c r="E611" s="2" t="s">
        <v>148</v>
      </c>
      <c r="F611" s="2" t="s">
        <v>59</v>
      </c>
      <c r="G611" s="2">
        <f>91-33-39802000</f>
        <v>-39801942</v>
      </c>
      <c r="H611" s="3" t="s">
        <v>2521</v>
      </c>
      <c r="I611" s="3" t="s">
        <v>2522</v>
      </c>
      <c r="J611" s="2" t="s">
        <v>2523</v>
      </c>
      <c r="K611" s="2"/>
      <c r="L611" s="2" t="s">
        <v>2524</v>
      </c>
      <c r="M611" s="2"/>
      <c r="N611" s="2"/>
      <c r="O611" s="2"/>
      <c r="P611" s="2" t="s">
        <v>31</v>
      </c>
      <c r="Q611" s="4">
        <v>45971</v>
      </c>
      <c r="R611" s="2"/>
      <c r="S611" s="2">
        <v>1</v>
      </c>
      <c r="T611" s="2" t="s">
        <v>2514</v>
      </c>
      <c r="U611" s="2" t="s">
        <v>34</v>
      </c>
    </row>
    <row r="612" spans="1:21" ht="60" x14ac:dyDescent="0.25">
      <c r="A612" s="2">
        <v>64</v>
      </c>
      <c r="B612" s="2" t="s">
        <v>2525</v>
      </c>
      <c r="C612" s="2" t="s">
        <v>56</v>
      </c>
      <c r="D612" s="2" t="s">
        <v>321</v>
      </c>
      <c r="E612" s="2" t="s">
        <v>322</v>
      </c>
      <c r="F612" s="2" t="s">
        <v>59</v>
      </c>
      <c r="G612" s="2">
        <f>91-1748-251111</f>
        <v>-252768</v>
      </c>
      <c r="H612" s="3" t="s">
        <v>2526</v>
      </c>
      <c r="I612" s="3" t="s">
        <v>2527</v>
      </c>
      <c r="J612" s="2" t="s">
        <v>2528</v>
      </c>
      <c r="K612" s="2"/>
      <c r="L612" s="2" t="s">
        <v>2529</v>
      </c>
      <c r="M612" s="2"/>
      <c r="N612" s="2"/>
      <c r="O612" s="2"/>
      <c r="P612" s="2" t="s">
        <v>31</v>
      </c>
      <c r="Q612" s="4">
        <v>45971</v>
      </c>
      <c r="R612" s="2"/>
      <c r="S612" s="2">
        <v>1</v>
      </c>
      <c r="T612" s="2" t="s">
        <v>2514</v>
      </c>
      <c r="U612" s="2" t="s">
        <v>34</v>
      </c>
    </row>
    <row r="613" spans="1:21" ht="75" x14ac:dyDescent="0.25">
      <c r="A613" s="2">
        <v>64</v>
      </c>
      <c r="B613" s="2" t="s">
        <v>2530</v>
      </c>
      <c r="C613" s="2" t="s">
        <v>56</v>
      </c>
      <c r="D613" s="2" t="s">
        <v>284</v>
      </c>
      <c r="E613" s="2" t="s">
        <v>24</v>
      </c>
      <c r="F613" s="2" t="s">
        <v>59</v>
      </c>
      <c r="G613" s="2">
        <f>91-11-46800600</f>
        <v>-46800520</v>
      </c>
      <c r="H613" s="3" t="s">
        <v>2531</v>
      </c>
      <c r="I613" s="3" t="s">
        <v>2532</v>
      </c>
      <c r="J613" s="2" t="s">
        <v>2533</v>
      </c>
      <c r="K613" s="2"/>
      <c r="L613" s="2" t="s">
        <v>2534</v>
      </c>
      <c r="M613" s="2"/>
      <c r="N613" s="2"/>
      <c r="O613" s="2"/>
      <c r="P613" s="2" t="s">
        <v>31</v>
      </c>
      <c r="Q613" s="4">
        <v>45971</v>
      </c>
      <c r="R613" s="2"/>
      <c r="S613" s="2">
        <v>1</v>
      </c>
      <c r="T613" s="2" t="s">
        <v>2514</v>
      </c>
      <c r="U613" s="2" t="s">
        <v>34</v>
      </c>
    </row>
    <row r="614" spans="1:21" ht="75" x14ac:dyDescent="0.25">
      <c r="A614" s="2">
        <v>64</v>
      </c>
      <c r="B614" s="2" t="s">
        <v>1559</v>
      </c>
      <c r="C614" s="2" t="s">
        <v>56</v>
      </c>
      <c r="D614" s="2" t="s">
        <v>57</v>
      </c>
      <c r="E614" s="2" t="s">
        <v>1547</v>
      </c>
      <c r="F614" s="2" t="s">
        <v>59</v>
      </c>
      <c r="G614" s="2">
        <f>91-512-2530777</f>
        <v>-2531198</v>
      </c>
      <c r="H614" s="3" t="s">
        <v>2535</v>
      </c>
      <c r="I614" s="3" t="s">
        <v>1561</v>
      </c>
      <c r="J614" s="2" t="s">
        <v>1585</v>
      </c>
      <c r="K614" s="2"/>
      <c r="L614" s="2" t="s">
        <v>2536</v>
      </c>
      <c r="M614" s="2"/>
      <c r="N614" s="2"/>
      <c r="O614" s="2"/>
      <c r="P614" s="2" t="s">
        <v>31</v>
      </c>
      <c r="Q614" s="4">
        <v>45971</v>
      </c>
      <c r="R614" s="2"/>
      <c r="S614" s="2">
        <v>1</v>
      </c>
      <c r="T614" s="2" t="s">
        <v>2514</v>
      </c>
      <c r="U614" s="2" t="s">
        <v>34</v>
      </c>
    </row>
    <row r="615" spans="1:21" ht="90" x14ac:dyDescent="0.25">
      <c r="A615" s="2">
        <v>64</v>
      </c>
      <c r="B615" s="2" t="s">
        <v>2537</v>
      </c>
      <c r="C615" s="2" t="s">
        <v>56</v>
      </c>
      <c r="D615" s="2" t="s">
        <v>126</v>
      </c>
      <c r="E615" s="2" t="s">
        <v>742</v>
      </c>
      <c r="F615" s="2" t="s">
        <v>59</v>
      </c>
      <c r="G615" s="2">
        <f>91-496-2700000</f>
        <v>-2700405</v>
      </c>
      <c r="H615" s="3" t="s">
        <v>2538</v>
      </c>
      <c r="I615" s="3" t="s">
        <v>717</v>
      </c>
      <c r="J615" s="2" t="s">
        <v>2539</v>
      </c>
      <c r="K615" s="2"/>
      <c r="L615" s="2" t="s">
        <v>2540</v>
      </c>
      <c r="M615" s="2"/>
      <c r="N615" s="2"/>
      <c r="O615" s="2"/>
      <c r="P615" s="2" t="s">
        <v>31</v>
      </c>
      <c r="Q615" s="4">
        <v>45971</v>
      </c>
      <c r="R615" s="2"/>
      <c r="S615" s="2">
        <v>1</v>
      </c>
      <c r="T615" s="2" t="s">
        <v>2514</v>
      </c>
      <c r="U615" s="2" t="s">
        <v>34</v>
      </c>
    </row>
    <row r="616" spans="1:21" ht="60" x14ac:dyDescent="0.25">
      <c r="A616" s="2">
        <v>64</v>
      </c>
      <c r="B616" s="2" t="s">
        <v>2541</v>
      </c>
      <c r="C616" s="2" t="s">
        <v>56</v>
      </c>
      <c r="D616" s="2" t="s">
        <v>147</v>
      </c>
      <c r="E616" s="2" t="s">
        <v>148</v>
      </c>
      <c r="F616" s="2" t="s">
        <v>59</v>
      </c>
      <c r="G616" s="2">
        <f>91-33-40090501</f>
        <v>-40090443</v>
      </c>
      <c r="H616" s="3" t="s">
        <v>2542</v>
      </c>
      <c r="I616" s="3" t="s">
        <v>2543</v>
      </c>
      <c r="J616" s="2" t="s">
        <v>148</v>
      </c>
      <c r="K616" s="2"/>
      <c r="L616" s="2" t="s">
        <v>2544</v>
      </c>
      <c r="M616" s="2"/>
      <c r="N616" s="2"/>
      <c r="O616" s="2"/>
      <c r="P616" s="2" t="s">
        <v>31</v>
      </c>
      <c r="Q616" s="4">
        <v>45971</v>
      </c>
      <c r="R616" s="2"/>
      <c r="S616" s="2">
        <v>1</v>
      </c>
      <c r="T616" s="2" t="s">
        <v>2514</v>
      </c>
      <c r="U616" s="2" t="s">
        <v>34</v>
      </c>
    </row>
    <row r="617" spans="1:21" ht="60" x14ac:dyDescent="0.25">
      <c r="A617" s="2">
        <v>64</v>
      </c>
      <c r="B617" s="2" t="s">
        <v>2545</v>
      </c>
      <c r="C617" s="2" t="s">
        <v>56</v>
      </c>
      <c r="D617" s="2" t="s">
        <v>284</v>
      </c>
      <c r="E617" s="2" t="s">
        <v>24</v>
      </c>
      <c r="F617" s="2" t="s">
        <v>59</v>
      </c>
      <c r="G617" s="2">
        <f>91-11-47060000</f>
        <v>-47059920</v>
      </c>
      <c r="H617" s="3" t="s">
        <v>2546</v>
      </c>
      <c r="I617" s="3" t="s">
        <v>2547</v>
      </c>
      <c r="J617" s="2" t="s">
        <v>2548</v>
      </c>
      <c r="K617" s="2"/>
      <c r="L617" s="2" t="s">
        <v>2549</v>
      </c>
      <c r="M617" s="2"/>
      <c r="N617" s="2"/>
      <c r="O617" s="2"/>
      <c r="P617" s="2" t="s">
        <v>31</v>
      </c>
      <c r="Q617" s="4">
        <v>45971</v>
      </c>
      <c r="R617" s="2"/>
      <c r="S617" s="2">
        <v>1</v>
      </c>
      <c r="T617" s="2" t="s">
        <v>2514</v>
      </c>
      <c r="U617" s="2" t="s">
        <v>34</v>
      </c>
    </row>
    <row r="618" spans="1:21" ht="150" x14ac:dyDescent="0.25">
      <c r="A618" s="2">
        <v>64</v>
      </c>
      <c r="B618" s="2" t="s">
        <v>2550</v>
      </c>
      <c r="C618" s="2" t="s">
        <v>22</v>
      </c>
      <c r="D618" s="2" t="s">
        <v>57</v>
      </c>
      <c r="E618" s="2" t="s">
        <v>2259</v>
      </c>
      <c r="F618" s="2" t="s">
        <v>476</v>
      </c>
      <c r="G618" s="2">
        <f>91-562-2850022</f>
        <v>-2850493</v>
      </c>
      <c r="H618" s="3" t="s">
        <v>2551</v>
      </c>
      <c r="I618" s="3" t="s">
        <v>2552</v>
      </c>
      <c r="J618" s="2" t="s">
        <v>2259</v>
      </c>
      <c r="K618" s="2"/>
      <c r="L618" s="2"/>
      <c r="M618" s="2"/>
      <c r="N618" s="2"/>
      <c r="O618" s="2"/>
      <c r="P618" s="2" t="s">
        <v>31</v>
      </c>
      <c r="Q618" s="4">
        <v>45982</v>
      </c>
      <c r="R618" s="2" t="s">
        <v>2553</v>
      </c>
      <c r="S618" s="2">
        <v>1</v>
      </c>
      <c r="T618" s="2" t="s">
        <v>2514</v>
      </c>
      <c r="U618" s="2" t="s">
        <v>34</v>
      </c>
    </row>
    <row r="619" spans="1:21" ht="75" x14ac:dyDescent="0.25">
      <c r="A619" s="2">
        <v>64</v>
      </c>
      <c r="B619" s="2" t="s">
        <v>2554</v>
      </c>
      <c r="C619" s="2" t="s">
        <v>426</v>
      </c>
      <c r="D619" s="2" t="s">
        <v>102</v>
      </c>
      <c r="E619" s="2" t="s">
        <v>1061</v>
      </c>
      <c r="F619" s="2" t="s">
        <v>655</v>
      </c>
      <c r="G619" s="2"/>
      <c r="H619" s="2"/>
      <c r="I619" s="2"/>
      <c r="J619" s="2" t="s">
        <v>2555</v>
      </c>
      <c r="K619" s="2"/>
      <c r="L619" s="2" t="s">
        <v>2556</v>
      </c>
      <c r="M619" s="2"/>
      <c r="N619" s="2"/>
      <c r="O619" s="2"/>
      <c r="P619" s="2" t="s">
        <v>31</v>
      </c>
      <c r="Q619" s="4">
        <v>45982</v>
      </c>
      <c r="R619" s="2"/>
      <c r="S619" s="2">
        <v>1</v>
      </c>
      <c r="T619" s="2" t="s">
        <v>2514</v>
      </c>
      <c r="U619" s="2" t="s">
        <v>34</v>
      </c>
    </row>
    <row r="620" spans="1:21" ht="120" x14ac:dyDescent="0.25">
      <c r="A620" s="2">
        <v>64</v>
      </c>
      <c r="B620" s="2" t="s">
        <v>2557</v>
      </c>
      <c r="C620" s="2" t="s">
        <v>119</v>
      </c>
      <c r="D620" s="2" t="s">
        <v>57</v>
      </c>
      <c r="E620" s="2" t="s">
        <v>1912</v>
      </c>
      <c r="F620" s="2" t="s">
        <v>59</v>
      </c>
      <c r="G620" s="2">
        <f>91-120-4500100</f>
        <v>-4500129</v>
      </c>
      <c r="H620" s="3" t="s">
        <v>2558</v>
      </c>
      <c r="I620" s="3" t="s">
        <v>2559</v>
      </c>
      <c r="J620" s="2" t="s">
        <v>2560</v>
      </c>
      <c r="K620" s="2"/>
      <c r="L620" s="2" t="s">
        <v>2561</v>
      </c>
      <c r="M620" s="2"/>
      <c r="N620" s="2"/>
      <c r="O620" s="2"/>
      <c r="P620" s="2" t="s">
        <v>31</v>
      </c>
      <c r="Q620" s="4">
        <v>45982</v>
      </c>
      <c r="R620" s="2"/>
      <c r="S620" s="2">
        <v>1</v>
      </c>
      <c r="T620" s="2" t="s">
        <v>2514</v>
      </c>
      <c r="U620" s="2" t="s">
        <v>34</v>
      </c>
    </row>
    <row r="621" spans="1:21" ht="45" x14ac:dyDescent="0.25">
      <c r="A621" s="1" t="s">
        <v>0</v>
      </c>
      <c r="B621" s="1" t="s">
        <v>1</v>
      </c>
      <c r="C621" s="1" t="s">
        <v>2</v>
      </c>
      <c r="D621" s="1" t="s">
        <v>3</v>
      </c>
      <c r="E621" s="1" t="s">
        <v>4</v>
      </c>
      <c r="F621" s="1" t="s">
        <v>5</v>
      </c>
      <c r="G621" s="1" t="s">
        <v>6</v>
      </c>
      <c r="H621" s="1" t="s">
        <v>7</v>
      </c>
      <c r="I621" s="1" t="s">
        <v>8</v>
      </c>
      <c r="J621" s="1" t="s">
        <v>9</v>
      </c>
      <c r="K621" s="1" t="s">
        <v>10</v>
      </c>
      <c r="L621" s="1" t="s">
        <v>11</v>
      </c>
      <c r="M621" s="1" t="s">
        <v>12</v>
      </c>
      <c r="N621" s="1" t="s">
        <v>13</v>
      </c>
      <c r="O621" s="1" t="s">
        <v>14</v>
      </c>
      <c r="P621" s="1" t="s">
        <v>15</v>
      </c>
      <c r="Q621" s="1" t="s">
        <v>16</v>
      </c>
      <c r="R621" s="1" t="s">
        <v>17</v>
      </c>
      <c r="S621" s="1" t="s">
        <v>18</v>
      </c>
      <c r="T621" s="1" t="s">
        <v>19</v>
      </c>
      <c r="U621" s="1" t="s">
        <v>20</v>
      </c>
    </row>
    <row r="622" spans="1:21" ht="120" x14ac:dyDescent="0.25">
      <c r="A622" s="2">
        <v>65</v>
      </c>
      <c r="B622" s="2" t="s">
        <v>1019</v>
      </c>
      <c r="C622" s="2" t="s">
        <v>22</v>
      </c>
      <c r="D622" s="2" t="s">
        <v>23</v>
      </c>
      <c r="E622" s="2" t="s">
        <v>24</v>
      </c>
      <c r="F622" s="2" t="s">
        <v>897</v>
      </c>
      <c r="G622" s="2">
        <f>91-11-26135256</f>
        <v>-26135176</v>
      </c>
      <c r="H622" s="3" t="s">
        <v>1020</v>
      </c>
      <c r="I622" s="3" t="s">
        <v>1021</v>
      </c>
      <c r="J622" s="2" t="s">
        <v>2562</v>
      </c>
      <c r="K622" s="2"/>
      <c r="L622" s="2"/>
      <c r="M622" s="2" t="s">
        <v>2563</v>
      </c>
      <c r="N622" s="2"/>
      <c r="O622" s="2"/>
      <c r="P622" s="2" t="s">
        <v>31</v>
      </c>
      <c r="Q622" s="4">
        <v>45982</v>
      </c>
      <c r="R622" s="2" t="s">
        <v>2564</v>
      </c>
      <c r="S622" s="2">
        <v>1</v>
      </c>
      <c r="T622" s="2" t="s">
        <v>2565</v>
      </c>
      <c r="U622" s="2" t="s">
        <v>34</v>
      </c>
    </row>
    <row r="623" spans="1:21" ht="135" x14ac:dyDescent="0.25">
      <c r="A623" s="2">
        <v>65</v>
      </c>
      <c r="B623" s="2" t="s">
        <v>2566</v>
      </c>
      <c r="C623" s="2" t="s">
        <v>22</v>
      </c>
      <c r="D623" s="2" t="s">
        <v>23</v>
      </c>
      <c r="E623" s="2" t="s">
        <v>24</v>
      </c>
      <c r="F623" s="2" t="s">
        <v>25</v>
      </c>
      <c r="G623" s="2">
        <f>91-11-26115841</f>
        <v>-26115761</v>
      </c>
      <c r="H623" s="3" t="s">
        <v>2388</v>
      </c>
      <c r="I623" s="3" t="s">
        <v>2389</v>
      </c>
      <c r="J623" s="2" t="s">
        <v>491</v>
      </c>
      <c r="K623" s="2"/>
      <c r="L623" s="2"/>
      <c r="M623" s="2" t="s">
        <v>2567</v>
      </c>
      <c r="N623" s="2"/>
      <c r="O623" s="2"/>
      <c r="P623" s="2" t="s">
        <v>31</v>
      </c>
      <c r="Q623" s="4">
        <v>45982</v>
      </c>
      <c r="R623" s="2" t="s">
        <v>2568</v>
      </c>
      <c r="S623" s="2">
        <v>1</v>
      </c>
      <c r="T623" s="2" t="s">
        <v>2565</v>
      </c>
      <c r="U623" s="2" t="s">
        <v>34</v>
      </c>
    </row>
    <row r="624" spans="1:21" ht="60" x14ac:dyDescent="0.25">
      <c r="A624" s="2">
        <v>65</v>
      </c>
      <c r="B624" s="2" t="s">
        <v>2569</v>
      </c>
      <c r="C624" s="2" t="s">
        <v>56</v>
      </c>
      <c r="D624" s="2" t="s">
        <v>36</v>
      </c>
      <c r="E624" s="2" t="s">
        <v>526</v>
      </c>
      <c r="F624" s="2" t="s">
        <v>59</v>
      </c>
      <c r="G624" s="2">
        <f>91-22-26850000</f>
        <v>-26849931</v>
      </c>
      <c r="H624" s="3" t="s">
        <v>2570</v>
      </c>
      <c r="I624" s="2"/>
      <c r="J624" s="2" t="s">
        <v>2571</v>
      </c>
      <c r="K624" s="2"/>
      <c r="L624" s="2" t="s">
        <v>2572</v>
      </c>
      <c r="M624" s="2"/>
      <c r="N624" s="2"/>
      <c r="O624" s="2"/>
      <c r="P624" s="2" t="s">
        <v>31</v>
      </c>
      <c r="Q624" s="4">
        <v>45971</v>
      </c>
      <c r="R624" s="2"/>
      <c r="S624" s="2">
        <v>1</v>
      </c>
      <c r="T624" s="2" t="s">
        <v>2565</v>
      </c>
      <c r="U624" s="2" t="s">
        <v>34</v>
      </c>
    </row>
    <row r="625" spans="1:21" ht="75" x14ac:dyDescent="0.25">
      <c r="A625" s="2">
        <v>65</v>
      </c>
      <c r="B625" s="2" t="s">
        <v>2573</v>
      </c>
      <c r="C625" s="2" t="s">
        <v>56</v>
      </c>
      <c r="D625" s="2" t="s">
        <v>36</v>
      </c>
      <c r="E625" s="2" t="s">
        <v>526</v>
      </c>
      <c r="F625" s="2" t="s">
        <v>59</v>
      </c>
      <c r="G625" s="2">
        <f>91-22-28780000</f>
        <v>-28779931</v>
      </c>
      <c r="H625" s="2"/>
      <c r="I625" s="3" t="s">
        <v>2574</v>
      </c>
      <c r="J625" s="2" t="s">
        <v>526</v>
      </c>
      <c r="K625" s="2"/>
      <c r="L625" s="2" t="s">
        <v>2575</v>
      </c>
      <c r="M625" s="2"/>
      <c r="N625" s="2"/>
      <c r="O625" s="2"/>
      <c r="P625" s="2" t="s">
        <v>31</v>
      </c>
      <c r="Q625" s="4">
        <v>45971</v>
      </c>
      <c r="R625" s="2"/>
      <c r="S625" s="2">
        <v>1</v>
      </c>
      <c r="T625" s="2" t="s">
        <v>2565</v>
      </c>
      <c r="U625" s="2" t="s">
        <v>34</v>
      </c>
    </row>
    <row r="626" spans="1:21" ht="90" x14ac:dyDescent="0.25">
      <c r="A626" s="2">
        <v>65</v>
      </c>
      <c r="B626" s="2" t="s">
        <v>2576</v>
      </c>
      <c r="C626" s="2" t="s">
        <v>426</v>
      </c>
      <c r="D626" s="2" t="s">
        <v>1335</v>
      </c>
      <c r="E626" s="2" t="s">
        <v>1988</v>
      </c>
      <c r="F626" s="2" t="s">
        <v>655</v>
      </c>
      <c r="G626" s="2"/>
      <c r="H626" s="2"/>
      <c r="I626" s="2"/>
      <c r="J626" s="2" t="s">
        <v>1988</v>
      </c>
      <c r="K626" s="2"/>
      <c r="L626" s="2" t="s">
        <v>2577</v>
      </c>
      <c r="M626" s="2"/>
      <c r="N626" s="2"/>
      <c r="O626" s="2"/>
      <c r="P626" s="2" t="s">
        <v>31</v>
      </c>
      <c r="Q626" s="4">
        <v>45982</v>
      </c>
      <c r="R626" s="2"/>
      <c r="S626" s="2">
        <v>1</v>
      </c>
      <c r="T626" s="2" t="s">
        <v>2565</v>
      </c>
      <c r="U626" s="2" t="s">
        <v>34</v>
      </c>
    </row>
    <row r="627" spans="1:21" ht="60" x14ac:dyDescent="0.25">
      <c r="A627" s="2">
        <v>65</v>
      </c>
      <c r="B627" s="2" t="s">
        <v>2578</v>
      </c>
      <c r="C627" s="2" t="s">
        <v>426</v>
      </c>
      <c r="D627" s="2" t="s">
        <v>841</v>
      </c>
      <c r="E627" s="2" t="s">
        <v>1325</v>
      </c>
      <c r="F627" s="2" t="s">
        <v>655</v>
      </c>
      <c r="G627" s="2"/>
      <c r="H627" s="2"/>
      <c r="I627" s="2"/>
      <c r="J627" s="2" t="s">
        <v>1325</v>
      </c>
      <c r="K627" s="2"/>
      <c r="L627" s="2" t="s">
        <v>2579</v>
      </c>
      <c r="M627" s="2"/>
      <c r="N627" s="2"/>
      <c r="O627" s="2"/>
      <c r="P627" s="2" t="s">
        <v>31</v>
      </c>
      <c r="Q627" s="4">
        <v>45982</v>
      </c>
      <c r="R627" s="2"/>
      <c r="S627" s="2">
        <v>1</v>
      </c>
      <c r="T627" s="2" t="s">
        <v>2565</v>
      </c>
      <c r="U627" s="2" t="s">
        <v>34</v>
      </c>
    </row>
    <row r="628" spans="1:21" ht="60" x14ac:dyDescent="0.25">
      <c r="A628" s="2">
        <v>65</v>
      </c>
      <c r="B628" s="2" t="s">
        <v>2580</v>
      </c>
      <c r="C628" s="2" t="s">
        <v>426</v>
      </c>
      <c r="D628" s="2" t="s">
        <v>147</v>
      </c>
      <c r="E628" s="2" t="s">
        <v>148</v>
      </c>
      <c r="F628" s="2" t="s">
        <v>655</v>
      </c>
      <c r="G628" s="2"/>
      <c r="H628" s="2"/>
      <c r="I628" s="2"/>
      <c r="J628" s="2" t="s">
        <v>2581</v>
      </c>
      <c r="K628" s="2"/>
      <c r="L628" s="2" t="s">
        <v>2582</v>
      </c>
      <c r="M628" s="2"/>
      <c r="N628" s="2"/>
      <c r="O628" s="2"/>
      <c r="P628" s="2" t="s">
        <v>31</v>
      </c>
      <c r="Q628" s="4">
        <v>45982</v>
      </c>
      <c r="R628" s="2"/>
      <c r="S628" s="2">
        <v>1</v>
      </c>
      <c r="T628" s="2" t="s">
        <v>2565</v>
      </c>
      <c r="U628" s="2" t="s">
        <v>34</v>
      </c>
    </row>
    <row r="629" spans="1:21" ht="135" x14ac:dyDescent="0.25">
      <c r="A629" s="2">
        <v>65</v>
      </c>
      <c r="B629" s="2" t="s">
        <v>2583</v>
      </c>
      <c r="C629" s="2" t="s">
        <v>119</v>
      </c>
      <c r="D629" s="2" t="s">
        <v>23</v>
      </c>
      <c r="E629" s="2" t="s">
        <v>24</v>
      </c>
      <c r="F629" s="2" t="s">
        <v>49</v>
      </c>
      <c r="G629" s="2">
        <f>91-11-26542000</f>
        <v>-26541920</v>
      </c>
      <c r="H629" s="2"/>
      <c r="I629" s="3" t="s">
        <v>2304</v>
      </c>
      <c r="J629" s="2" t="s">
        <v>2429</v>
      </c>
      <c r="K629" s="2"/>
      <c r="L629" s="2" t="s">
        <v>2584</v>
      </c>
      <c r="M629" s="2"/>
      <c r="N629" s="2"/>
      <c r="O629" s="2"/>
      <c r="P629" s="2" t="s">
        <v>31</v>
      </c>
      <c r="Q629" s="4">
        <v>45982</v>
      </c>
      <c r="R629" s="2"/>
      <c r="S629" s="2">
        <v>1</v>
      </c>
      <c r="T629" s="2" t="s">
        <v>2565</v>
      </c>
      <c r="U629" s="2" t="s">
        <v>34</v>
      </c>
    </row>
    <row r="630" spans="1:21" ht="45" x14ac:dyDescent="0.25">
      <c r="A630" s="1" t="s">
        <v>0</v>
      </c>
      <c r="B630" s="1" t="s">
        <v>1</v>
      </c>
      <c r="C630" s="1" t="s">
        <v>2</v>
      </c>
      <c r="D630" s="1" t="s">
        <v>3</v>
      </c>
      <c r="E630" s="1" t="s">
        <v>4</v>
      </c>
      <c r="F630" s="1" t="s">
        <v>5</v>
      </c>
      <c r="G630" s="1" t="s">
        <v>6</v>
      </c>
      <c r="H630" s="1" t="s">
        <v>7</v>
      </c>
      <c r="I630" s="1" t="s">
        <v>8</v>
      </c>
      <c r="J630" s="1" t="s">
        <v>9</v>
      </c>
      <c r="K630" s="1" t="s">
        <v>10</v>
      </c>
      <c r="L630" s="1" t="s">
        <v>11</v>
      </c>
      <c r="M630" s="1" t="s">
        <v>12</v>
      </c>
      <c r="N630" s="1" t="s">
        <v>13</v>
      </c>
      <c r="O630" s="1" t="s">
        <v>14</v>
      </c>
      <c r="P630" s="1" t="s">
        <v>15</v>
      </c>
      <c r="Q630" s="1" t="s">
        <v>16</v>
      </c>
      <c r="R630" s="1" t="s">
        <v>17</v>
      </c>
      <c r="S630" s="1" t="s">
        <v>18</v>
      </c>
      <c r="T630" s="1" t="s">
        <v>19</v>
      </c>
      <c r="U630" s="1" t="s">
        <v>20</v>
      </c>
    </row>
    <row r="631" spans="1:21" ht="120" x14ac:dyDescent="0.25">
      <c r="A631" s="2">
        <v>66</v>
      </c>
      <c r="B631" s="2" t="s">
        <v>1019</v>
      </c>
      <c r="C631" s="2" t="s">
        <v>22</v>
      </c>
      <c r="D631" s="2" t="s">
        <v>23</v>
      </c>
      <c r="E631" s="2" t="s">
        <v>24</v>
      </c>
      <c r="F631" s="2" t="s">
        <v>897</v>
      </c>
      <c r="G631" s="2">
        <f>91-11-26135256</f>
        <v>-26135176</v>
      </c>
      <c r="H631" s="3" t="s">
        <v>1020</v>
      </c>
      <c r="I631" s="3" t="s">
        <v>1021</v>
      </c>
      <c r="J631" s="2" t="s">
        <v>2562</v>
      </c>
      <c r="K631" s="2"/>
      <c r="L631" s="2"/>
      <c r="M631" s="2" t="s">
        <v>2585</v>
      </c>
      <c r="N631" s="2"/>
      <c r="O631" s="2"/>
      <c r="P631" s="2" t="s">
        <v>31</v>
      </c>
      <c r="Q631" s="4">
        <v>45982</v>
      </c>
      <c r="R631" s="2" t="s">
        <v>2586</v>
      </c>
      <c r="S631" s="2">
        <v>1</v>
      </c>
      <c r="T631" s="2" t="s">
        <v>2587</v>
      </c>
      <c r="U631" s="2" t="s">
        <v>34</v>
      </c>
    </row>
    <row r="632" spans="1:21" ht="120" x14ac:dyDescent="0.25">
      <c r="A632" s="2">
        <v>66</v>
      </c>
      <c r="B632" s="2" t="s">
        <v>2588</v>
      </c>
      <c r="C632" s="2" t="s">
        <v>22</v>
      </c>
      <c r="D632" s="2" t="s">
        <v>36</v>
      </c>
      <c r="E632" s="2" t="s">
        <v>526</v>
      </c>
      <c r="F632" s="2" t="s">
        <v>897</v>
      </c>
      <c r="G632" s="2">
        <f>91-22-26833951</f>
        <v>-26833882</v>
      </c>
      <c r="H632" s="3" t="s">
        <v>2589</v>
      </c>
      <c r="I632" s="3" t="s">
        <v>2590</v>
      </c>
      <c r="J632" s="2" t="s">
        <v>526</v>
      </c>
      <c r="K632" s="2"/>
      <c r="L632" s="2"/>
      <c r="M632" s="2" t="s">
        <v>2591</v>
      </c>
      <c r="N632" s="2"/>
      <c r="O632" s="2"/>
      <c r="P632" s="2" t="s">
        <v>31</v>
      </c>
      <c r="Q632" s="4">
        <v>45982</v>
      </c>
      <c r="R632" s="2" t="s">
        <v>2592</v>
      </c>
      <c r="S632" s="2">
        <v>1</v>
      </c>
      <c r="T632" s="2" t="s">
        <v>2587</v>
      </c>
      <c r="U632" s="2" t="s">
        <v>34</v>
      </c>
    </row>
    <row r="633" spans="1:21" ht="120" x14ac:dyDescent="0.25">
      <c r="A633" s="2">
        <v>66</v>
      </c>
      <c r="B633" s="2" t="s">
        <v>2593</v>
      </c>
      <c r="C633" s="2" t="s">
        <v>22</v>
      </c>
      <c r="D633" s="2" t="s">
        <v>36</v>
      </c>
      <c r="E633" s="2" t="s">
        <v>526</v>
      </c>
      <c r="F633" s="2" t="s">
        <v>476</v>
      </c>
      <c r="G633" s="2">
        <f>91-22-26850000</f>
        <v>-26849931</v>
      </c>
      <c r="H633" s="2"/>
      <c r="I633" s="2"/>
      <c r="J633" s="2" t="s">
        <v>526</v>
      </c>
      <c r="K633" s="2"/>
      <c r="L633" s="2"/>
      <c r="M633" s="2"/>
      <c r="N633" s="2"/>
      <c r="O633" s="2"/>
      <c r="P633" s="2" t="s">
        <v>31</v>
      </c>
      <c r="Q633" s="4">
        <v>45982</v>
      </c>
      <c r="R633" s="2" t="s">
        <v>2594</v>
      </c>
      <c r="S633" s="2">
        <v>1</v>
      </c>
      <c r="T633" s="2" t="s">
        <v>2587</v>
      </c>
      <c r="U633" s="2" t="s">
        <v>34</v>
      </c>
    </row>
    <row r="634" spans="1:21" ht="120" x14ac:dyDescent="0.25">
      <c r="A634" s="2">
        <v>66</v>
      </c>
      <c r="B634" s="2" t="s">
        <v>2595</v>
      </c>
      <c r="C634" s="2" t="s">
        <v>56</v>
      </c>
      <c r="D634" s="2" t="s">
        <v>153</v>
      </c>
      <c r="E634" s="2" t="s">
        <v>2061</v>
      </c>
      <c r="F634" s="2" t="s">
        <v>1124</v>
      </c>
      <c r="G634" s="2">
        <f>91-261-2310000</f>
        <v>-2310170</v>
      </c>
      <c r="H634" s="3" t="s">
        <v>2128</v>
      </c>
      <c r="I634" s="3" t="s">
        <v>2129</v>
      </c>
      <c r="J634" s="2" t="s">
        <v>2061</v>
      </c>
      <c r="K634" s="2"/>
      <c r="L634" s="2" t="s">
        <v>2596</v>
      </c>
      <c r="M634" s="2"/>
      <c r="N634" s="2"/>
      <c r="O634" s="2"/>
      <c r="P634" s="2" t="s">
        <v>31</v>
      </c>
      <c r="Q634" s="4">
        <v>45971</v>
      </c>
      <c r="R634" s="2"/>
      <c r="S634" s="2">
        <v>1</v>
      </c>
      <c r="T634" s="2" t="s">
        <v>2587</v>
      </c>
      <c r="U634" s="2" t="s">
        <v>34</v>
      </c>
    </row>
    <row r="635" spans="1:21" ht="90" x14ac:dyDescent="0.25">
      <c r="A635" s="2">
        <v>66</v>
      </c>
      <c r="B635" s="2" t="s">
        <v>2597</v>
      </c>
      <c r="C635" s="2" t="s">
        <v>56</v>
      </c>
      <c r="D635" s="2" t="s">
        <v>36</v>
      </c>
      <c r="E635" s="2" t="s">
        <v>526</v>
      </c>
      <c r="F635" s="2" t="s">
        <v>59</v>
      </c>
      <c r="G635" s="2">
        <f>91-22-66539000</f>
        <v>-66538931</v>
      </c>
      <c r="H635" s="3" t="s">
        <v>2598</v>
      </c>
      <c r="I635" s="3" t="s">
        <v>1612</v>
      </c>
      <c r="J635" s="2" t="s">
        <v>2599</v>
      </c>
      <c r="K635" s="2"/>
      <c r="L635" s="2" t="s">
        <v>2600</v>
      </c>
      <c r="M635" s="2"/>
      <c r="N635" s="2"/>
      <c r="O635" s="2"/>
      <c r="P635" s="2" t="s">
        <v>31</v>
      </c>
      <c r="Q635" s="4">
        <v>45971</v>
      </c>
      <c r="R635" s="2"/>
      <c r="S635" s="2">
        <v>1</v>
      </c>
      <c r="T635" s="2" t="s">
        <v>2587</v>
      </c>
      <c r="U635" s="2" t="s">
        <v>34</v>
      </c>
    </row>
    <row r="636" spans="1:21" ht="105" x14ac:dyDescent="0.25">
      <c r="A636" s="2">
        <v>66</v>
      </c>
      <c r="B636" s="2" t="s">
        <v>2601</v>
      </c>
      <c r="C636" s="2" t="s">
        <v>56</v>
      </c>
      <c r="D636" s="2" t="s">
        <v>147</v>
      </c>
      <c r="E636" s="2" t="s">
        <v>148</v>
      </c>
      <c r="F636" s="2" t="s">
        <v>59</v>
      </c>
      <c r="G636" s="2">
        <f>91-33-22480000</f>
        <v>-22479942</v>
      </c>
      <c r="H636" s="2"/>
      <c r="I636" s="2"/>
      <c r="J636" s="2" t="s">
        <v>148</v>
      </c>
      <c r="K636" s="2"/>
      <c r="L636" s="2" t="s">
        <v>2602</v>
      </c>
      <c r="M636" s="2"/>
      <c r="N636" s="2"/>
      <c r="O636" s="2"/>
      <c r="P636" s="2" t="s">
        <v>31</v>
      </c>
      <c r="Q636" s="4">
        <v>45971</v>
      </c>
      <c r="R636" s="2"/>
      <c r="S636" s="2">
        <v>1</v>
      </c>
      <c r="T636" s="2" t="s">
        <v>2587</v>
      </c>
      <c r="U636" s="2" t="s">
        <v>34</v>
      </c>
    </row>
    <row r="637" spans="1:21" ht="75" x14ac:dyDescent="0.25">
      <c r="A637" s="2">
        <v>66</v>
      </c>
      <c r="B637" s="2" t="s">
        <v>2603</v>
      </c>
      <c r="C637" s="2" t="s">
        <v>56</v>
      </c>
      <c r="D637" s="2" t="s">
        <v>36</v>
      </c>
      <c r="E637" s="2" t="s">
        <v>526</v>
      </c>
      <c r="F637" s="2" t="s">
        <v>59</v>
      </c>
      <c r="G637" s="2">
        <f>91-22-23450000</f>
        <v>-23449931</v>
      </c>
      <c r="H637" s="2"/>
      <c r="I637" s="2"/>
      <c r="J637" s="2" t="s">
        <v>526</v>
      </c>
      <c r="K637" s="2"/>
      <c r="L637" s="2" t="s">
        <v>2604</v>
      </c>
      <c r="M637" s="2"/>
      <c r="N637" s="2"/>
      <c r="O637" s="2"/>
      <c r="P637" s="2" t="s">
        <v>31</v>
      </c>
      <c r="Q637" s="4">
        <v>45971</v>
      </c>
      <c r="R637" s="2"/>
      <c r="S637" s="2">
        <v>1</v>
      </c>
      <c r="T637" s="2" t="s">
        <v>2587</v>
      </c>
      <c r="U637" s="2" t="s">
        <v>34</v>
      </c>
    </row>
    <row r="638" spans="1:21" ht="90" x14ac:dyDescent="0.25">
      <c r="A638" s="2">
        <v>66</v>
      </c>
      <c r="B638" s="2" t="s">
        <v>2605</v>
      </c>
      <c r="C638" s="2" t="s">
        <v>426</v>
      </c>
      <c r="D638" s="2" t="s">
        <v>147</v>
      </c>
      <c r="E638" s="2" t="s">
        <v>148</v>
      </c>
      <c r="F638" s="2" t="s">
        <v>655</v>
      </c>
      <c r="G638" s="2"/>
      <c r="H638" s="2"/>
      <c r="I638" s="2"/>
      <c r="J638" s="2" t="s">
        <v>2581</v>
      </c>
      <c r="K638" s="2"/>
      <c r="L638" s="2" t="s">
        <v>2606</v>
      </c>
      <c r="M638" s="2"/>
      <c r="N638" s="2"/>
      <c r="O638" s="2"/>
      <c r="P638" s="2" t="s">
        <v>31</v>
      </c>
      <c r="Q638" s="4">
        <v>45982</v>
      </c>
      <c r="R638" s="2"/>
      <c r="S638" s="2">
        <v>1</v>
      </c>
      <c r="T638" s="2" t="s">
        <v>2587</v>
      </c>
      <c r="U638" s="2" t="s">
        <v>34</v>
      </c>
    </row>
    <row r="639" spans="1:21" ht="90" x14ac:dyDescent="0.25">
      <c r="A639" s="2">
        <v>66</v>
      </c>
      <c r="B639" s="2" t="s">
        <v>2607</v>
      </c>
      <c r="C639" s="2" t="s">
        <v>426</v>
      </c>
      <c r="D639" s="2" t="s">
        <v>57</v>
      </c>
      <c r="E639" s="2" t="s">
        <v>1835</v>
      </c>
      <c r="F639" s="2" t="s">
        <v>655</v>
      </c>
      <c r="G639" s="2"/>
      <c r="H639" s="2"/>
      <c r="I639" s="2"/>
      <c r="J639" s="2" t="s">
        <v>1835</v>
      </c>
      <c r="K639" s="2"/>
      <c r="L639" s="2" t="s">
        <v>2608</v>
      </c>
      <c r="M639" s="2"/>
      <c r="N639" s="2"/>
      <c r="O639" s="2"/>
      <c r="P639" s="2" t="s">
        <v>31</v>
      </c>
      <c r="Q639" s="4">
        <v>45982</v>
      </c>
      <c r="R639" s="2"/>
      <c r="S639" s="2">
        <v>1</v>
      </c>
      <c r="T639" s="2" t="s">
        <v>2587</v>
      </c>
      <c r="U639" s="2" t="s">
        <v>34</v>
      </c>
    </row>
    <row r="640" spans="1:21" ht="45" x14ac:dyDescent="0.25">
      <c r="A640" s="1" t="s">
        <v>0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5</v>
      </c>
      <c r="G640" s="1" t="s">
        <v>6</v>
      </c>
      <c r="H640" s="1" t="s">
        <v>7</v>
      </c>
      <c r="I640" s="1" t="s">
        <v>8</v>
      </c>
      <c r="J640" s="1" t="s">
        <v>9</v>
      </c>
      <c r="K640" s="1" t="s">
        <v>10</v>
      </c>
      <c r="L640" s="1" t="s">
        <v>11</v>
      </c>
      <c r="M640" s="1" t="s">
        <v>12</v>
      </c>
      <c r="N640" s="1" t="s">
        <v>13</v>
      </c>
      <c r="O640" s="1" t="s">
        <v>14</v>
      </c>
      <c r="P640" s="1" t="s">
        <v>15</v>
      </c>
      <c r="Q640" s="1" t="s">
        <v>16</v>
      </c>
      <c r="R640" s="1" t="s">
        <v>17</v>
      </c>
      <c r="S640" s="1" t="s">
        <v>18</v>
      </c>
      <c r="T640" s="1" t="s">
        <v>19</v>
      </c>
      <c r="U640" s="1" t="s">
        <v>20</v>
      </c>
    </row>
    <row r="641" spans="1:21" ht="150" x14ac:dyDescent="0.25">
      <c r="A641" s="2">
        <v>67</v>
      </c>
      <c r="B641" s="2" t="s">
        <v>1019</v>
      </c>
      <c r="C641" s="2" t="s">
        <v>22</v>
      </c>
      <c r="D641" s="2" t="s">
        <v>23</v>
      </c>
      <c r="E641" s="2" t="s">
        <v>24</v>
      </c>
      <c r="F641" s="2" t="s">
        <v>897</v>
      </c>
      <c r="G641" s="2">
        <f>91-11-26135256</f>
        <v>-26135176</v>
      </c>
      <c r="H641" s="3" t="s">
        <v>1020</v>
      </c>
      <c r="I641" s="3" t="s">
        <v>1021</v>
      </c>
      <c r="J641" s="2" t="s">
        <v>1744</v>
      </c>
      <c r="K641" s="2"/>
      <c r="L641" s="2"/>
      <c r="M641" s="2" t="s">
        <v>2609</v>
      </c>
      <c r="N641" s="2"/>
      <c r="O641" s="2"/>
      <c r="P641" s="2" t="s">
        <v>31</v>
      </c>
      <c r="Q641" s="4">
        <v>45982</v>
      </c>
      <c r="R641" s="2" t="s">
        <v>2610</v>
      </c>
      <c r="S641" s="2">
        <v>2</v>
      </c>
      <c r="T641" s="2" t="s">
        <v>1841</v>
      </c>
      <c r="U641" s="2" t="s">
        <v>34</v>
      </c>
    </row>
    <row r="642" spans="1:21" ht="120" x14ac:dyDescent="0.25">
      <c r="A642" s="2">
        <v>67</v>
      </c>
      <c r="B642" s="2" t="s">
        <v>2611</v>
      </c>
      <c r="C642" s="2" t="s">
        <v>119</v>
      </c>
      <c r="D642" s="2" t="s">
        <v>23</v>
      </c>
      <c r="E642" s="2" t="s">
        <v>24</v>
      </c>
      <c r="F642" s="2" t="s">
        <v>49</v>
      </c>
      <c r="G642" s="2">
        <f>91-11-26563500</f>
        <v>-26563420</v>
      </c>
      <c r="H642" s="3" t="s">
        <v>2612</v>
      </c>
      <c r="I642" s="3" t="s">
        <v>2613</v>
      </c>
      <c r="J642" s="2" t="s">
        <v>2614</v>
      </c>
      <c r="K642" s="2"/>
      <c r="L642" s="2"/>
      <c r="M642" s="2"/>
      <c r="N642" s="2"/>
      <c r="O642" s="2"/>
      <c r="P642" s="2" t="s">
        <v>31</v>
      </c>
      <c r="Q642" s="4">
        <v>45982</v>
      </c>
      <c r="R642" s="2" t="s">
        <v>2615</v>
      </c>
      <c r="S642" s="2">
        <v>2</v>
      </c>
      <c r="T642" s="2" t="s">
        <v>1841</v>
      </c>
      <c r="U642" s="2" t="s">
        <v>34</v>
      </c>
    </row>
    <row r="643" spans="1:21" ht="150" x14ac:dyDescent="0.25">
      <c r="A643" s="2">
        <v>67</v>
      </c>
      <c r="B643" s="2" t="s">
        <v>2616</v>
      </c>
      <c r="C643" s="2" t="s">
        <v>119</v>
      </c>
      <c r="D643" s="2" t="s">
        <v>23</v>
      </c>
      <c r="E643" s="2" t="s">
        <v>24</v>
      </c>
      <c r="F643" s="2" t="s">
        <v>49</v>
      </c>
      <c r="G643" s="2">
        <f>91-11-26542000</f>
        <v>-26541920</v>
      </c>
      <c r="H643" s="3" t="s">
        <v>2617</v>
      </c>
      <c r="I643" s="3" t="s">
        <v>2304</v>
      </c>
      <c r="J643" s="2" t="s">
        <v>2618</v>
      </c>
      <c r="K643" s="2"/>
      <c r="L643" s="2"/>
      <c r="M643" s="2"/>
      <c r="N643" s="2"/>
      <c r="O643" s="2"/>
      <c r="P643" s="2" t="s">
        <v>31</v>
      </c>
      <c r="Q643" s="4">
        <v>45982</v>
      </c>
      <c r="R643" s="2" t="s">
        <v>2619</v>
      </c>
      <c r="S643" s="2">
        <v>2</v>
      </c>
      <c r="T643" s="2" t="s">
        <v>1841</v>
      </c>
      <c r="U643" s="2" t="s">
        <v>34</v>
      </c>
    </row>
    <row r="644" spans="1:21" ht="75" x14ac:dyDescent="0.25">
      <c r="A644" s="2">
        <v>67</v>
      </c>
      <c r="B644" s="2" t="s">
        <v>2620</v>
      </c>
      <c r="C644" s="2" t="s">
        <v>426</v>
      </c>
      <c r="D644" s="2" t="s">
        <v>147</v>
      </c>
      <c r="E644" s="2" t="s">
        <v>148</v>
      </c>
      <c r="F644" s="2" t="s">
        <v>2621</v>
      </c>
      <c r="G644" s="2">
        <f>91-33-22414455</f>
        <v>-22414397</v>
      </c>
      <c r="H644" s="2"/>
      <c r="I644" s="2"/>
      <c r="J644" s="2" t="s">
        <v>2581</v>
      </c>
      <c r="K644" s="2"/>
      <c r="L644" s="2" t="s">
        <v>2622</v>
      </c>
      <c r="M644" s="2"/>
      <c r="N644" s="2"/>
      <c r="O644" s="2"/>
      <c r="P644" s="2" t="s">
        <v>31</v>
      </c>
      <c r="Q644" s="4">
        <v>45982</v>
      </c>
      <c r="R644" s="2"/>
      <c r="S644" s="2">
        <v>2</v>
      </c>
      <c r="T644" s="2" t="s">
        <v>1841</v>
      </c>
      <c r="U644" s="2" t="s">
        <v>34</v>
      </c>
    </row>
    <row r="645" spans="1:21" ht="75" x14ac:dyDescent="0.25">
      <c r="A645" s="2">
        <v>67</v>
      </c>
      <c r="B645" s="2" t="s">
        <v>2623</v>
      </c>
      <c r="C645" s="2" t="s">
        <v>426</v>
      </c>
      <c r="D645" s="2" t="s">
        <v>23</v>
      </c>
      <c r="E645" s="2" t="s">
        <v>2624</v>
      </c>
      <c r="F645" s="2" t="s">
        <v>476</v>
      </c>
      <c r="G645" s="2">
        <f>91-11-26314455</f>
        <v>-26314375</v>
      </c>
      <c r="H645" s="2"/>
      <c r="I645" s="2"/>
      <c r="J645" s="2" t="s">
        <v>2625</v>
      </c>
      <c r="K645" s="2"/>
      <c r="L645" s="2" t="s">
        <v>2626</v>
      </c>
      <c r="M645" s="2"/>
      <c r="N645" s="2"/>
      <c r="O645" s="2"/>
      <c r="P645" s="2" t="s">
        <v>31</v>
      </c>
      <c r="Q645" s="4">
        <v>45982</v>
      </c>
      <c r="R645" s="2"/>
      <c r="S645" s="2">
        <v>2</v>
      </c>
      <c r="T645" s="2" t="s">
        <v>1841</v>
      </c>
      <c r="U645" s="2" t="s">
        <v>34</v>
      </c>
    </row>
    <row r="646" spans="1:21" ht="90" x14ac:dyDescent="0.25">
      <c r="A646" s="2">
        <v>67</v>
      </c>
      <c r="B646" s="2" t="s">
        <v>2627</v>
      </c>
      <c r="C646" s="2" t="s">
        <v>623</v>
      </c>
      <c r="D646" s="2" t="s">
        <v>36</v>
      </c>
      <c r="E646" s="2" t="s">
        <v>37</v>
      </c>
      <c r="F646" s="2" t="s">
        <v>25</v>
      </c>
      <c r="G646" s="2">
        <f>91-22-24014455</f>
        <v>-24014386</v>
      </c>
      <c r="H646" s="2"/>
      <c r="I646" s="2"/>
      <c r="J646" s="2" t="s">
        <v>2628</v>
      </c>
      <c r="K646" s="2"/>
      <c r="L646" s="2" t="s">
        <v>2629</v>
      </c>
      <c r="M646" s="2"/>
      <c r="N646" s="2"/>
      <c r="O646" s="2"/>
      <c r="P646" s="2" t="s">
        <v>31</v>
      </c>
      <c r="Q646" s="4">
        <v>45982</v>
      </c>
      <c r="R646" s="2"/>
      <c r="S646" s="2">
        <v>2</v>
      </c>
      <c r="T646" s="2" t="s">
        <v>1841</v>
      </c>
      <c r="U646" s="2" t="s">
        <v>34</v>
      </c>
    </row>
    <row r="647" spans="1:21" ht="90" x14ac:dyDescent="0.25">
      <c r="A647" s="2">
        <v>67</v>
      </c>
      <c r="B647" s="2" t="s">
        <v>2630</v>
      </c>
      <c r="C647" s="2" t="s">
        <v>623</v>
      </c>
      <c r="D647" s="2" t="s">
        <v>23</v>
      </c>
      <c r="E647" s="2" t="s">
        <v>2624</v>
      </c>
      <c r="F647" s="2" t="s">
        <v>476</v>
      </c>
      <c r="G647" s="2">
        <f>91-11-26315566</f>
        <v>-26315486</v>
      </c>
      <c r="H647" s="2"/>
      <c r="I647" s="2"/>
      <c r="J647" s="2" t="s">
        <v>2631</v>
      </c>
      <c r="K647" s="2"/>
      <c r="L647" s="2" t="s">
        <v>2632</v>
      </c>
      <c r="M647" s="2"/>
      <c r="N647" s="2"/>
      <c r="O647" s="2"/>
      <c r="P647" s="2" t="s">
        <v>31</v>
      </c>
      <c r="Q647" s="4">
        <v>45982</v>
      </c>
      <c r="R647" s="2"/>
      <c r="S647" s="2">
        <v>2</v>
      </c>
      <c r="T647" s="2" t="s">
        <v>1841</v>
      </c>
      <c r="U647" s="2" t="s">
        <v>34</v>
      </c>
    </row>
    <row r="648" spans="1:21" ht="105" x14ac:dyDescent="0.25">
      <c r="A648" s="2">
        <v>67</v>
      </c>
      <c r="B648" s="2" t="s">
        <v>2633</v>
      </c>
      <c r="C648" s="2" t="s">
        <v>623</v>
      </c>
      <c r="D648" s="2" t="s">
        <v>126</v>
      </c>
      <c r="E648" s="2" t="s">
        <v>1239</v>
      </c>
      <c r="F648" s="2" t="s">
        <v>25</v>
      </c>
      <c r="G648" s="2">
        <f>91-487-2331555</f>
        <v>-2331951</v>
      </c>
      <c r="H648" s="2"/>
      <c r="I648" s="2"/>
      <c r="J648" s="2" t="s">
        <v>1239</v>
      </c>
      <c r="K648" s="2"/>
      <c r="L648" s="2" t="s">
        <v>2634</v>
      </c>
      <c r="M648" s="2"/>
      <c r="N648" s="2"/>
      <c r="O648" s="2"/>
      <c r="P648" s="2" t="s">
        <v>31</v>
      </c>
      <c r="Q648" s="4">
        <v>45982</v>
      </c>
      <c r="R648" s="2"/>
      <c r="S648" s="2">
        <v>2</v>
      </c>
      <c r="T648" s="2" t="s">
        <v>1841</v>
      </c>
      <c r="U648" s="2" t="s">
        <v>34</v>
      </c>
    </row>
    <row r="649" spans="1:21" ht="90" x14ac:dyDescent="0.25">
      <c r="A649" s="2">
        <v>67</v>
      </c>
      <c r="B649" s="2" t="s">
        <v>2635</v>
      </c>
      <c r="C649" s="2" t="s">
        <v>56</v>
      </c>
      <c r="D649" s="2" t="s">
        <v>147</v>
      </c>
      <c r="E649" s="2" t="s">
        <v>148</v>
      </c>
      <c r="F649" s="2" t="s">
        <v>59</v>
      </c>
      <c r="G649" s="2">
        <f>91-33-22415566</f>
        <v>-22415508</v>
      </c>
      <c r="H649" s="3" t="s">
        <v>2636</v>
      </c>
      <c r="I649" s="2"/>
      <c r="J649" s="2" t="s">
        <v>148</v>
      </c>
      <c r="K649" s="2"/>
      <c r="L649" s="2" t="s">
        <v>2637</v>
      </c>
      <c r="M649" s="2"/>
      <c r="N649" s="2"/>
      <c r="O649" s="2"/>
      <c r="P649" s="2" t="s">
        <v>31</v>
      </c>
      <c r="Q649" s="4">
        <v>45982</v>
      </c>
      <c r="R649" s="2"/>
      <c r="S649" s="2">
        <v>2</v>
      </c>
      <c r="T649" s="2" t="s">
        <v>1841</v>
      </c>
      <c r="U649" s="2" t="s">
        <v>34</v>
      </c>
    </row>
    <row r="650" spans="1:21" ht="75" x14ac:dyDescent="0.25">
      <c r="A650" s="2">
        <v>67</v>
      </c>
      <c r="B650" s="2" t="s">
        <v>2638</v>
      </c>
      <c r="C650" s="2" t="s">
        <v>56</v>
      </c>
      <c r="D650" s="2" t="s">
        <v>23</v>
      </c>
      <c r="E650" s="2" t="s">
        <v>24</v>
      </c>
      <c r="F650" s="2" t="s">
        <v>49</v>
      </c>
      <c r="G650" s="2">
        <f>91-11-26316677</f>
        <v>-26316597</v>
      </c>
      <c r="H650" s="2"/>
      <c r="I650" s="2"/>
      <c r="J650" s="2" t="s">
        <v>2639</v>
      </c>
      <c r="K650" s="2"/>
      <c r="L650" s="2" t="s">
        <v>2640</v>
      </c>
      <c r="M650" s="2"/>
      <c r="N650" s="2"/>
      <c r="O650" s="2"/>
      <c r="P650" s="2" t="s">
        <v>31</v>
      </c>
      <c r="Q650" s="4">
        <v>45982</v>
      </c>
      <c r="R650" s="2"/>
      <c r="S650" s="2">
        <v>2</v>
      </c>
      <c r="T650" s="2" t="s">
        <v>1841</v>
      </c>
      <c r="U650" s="2" t="s">
        <v>34</v>
      </c>
    </row>
    <row r="651" spans="1:21" ht="75" x14ac:dyDescent="0.25">
      <c r="A651" s="2">
        <v>67</v>
      </c>
      <c r="B651" s="2" t="s">
        <v>2641</v>
      </c>
      <c r="C651" s="2" t="s">
        <v>56</v>
      </c>
      <c r="D651" s="2" t="s">
        <v>102</v>
      </c>
      <c r="E651" s="2" t="s">
        <v>158</v>
      </c>
      <c r="F651" s="2" t="s">
        <v>49</v>
      </c>
      <c r="G651" s="2">
        <f>91-44-25216688</f>
        <v>-25216641</v>
      </c>
      <c r="H651" s="2"/>
      <c r="I651" s="2"/>
      <c r="J651" s="2" t="s">
        <v>158</v>
      </c>
      <c r="K651" s="2"/>
      <c r="L651" s="2" t="s">
        <v>2642</v>
      </c>
      <c r="M651" s="2"/>
      <c r="N651" s="2"/>
      <c r="O651" s="2"/>
      <c r="P651" s="2" t="s">
        <v>31</v>
      </c>
      <c r="Q651" s="4">
        <v>45982</v>
      </c>
      <c r="R651" s="2"/>
      <c r="S651" s="2">
        <v>2</v>
      </c>
      <c r="T651" s="2" t="s">
        <v>1841</v>
      </c>
      <c r="U651" s="2" t="s">
        <v>34</v>
      </c>
    </row>
    <row r="652" spans="1:21" ht="90" x14ac:dyDescent="0.25">
      <c r="A652" s="2">
        <v>67</v>
      </c>
      <c r="B652" s="2" t="s">
        <v>2643</v>
      </c>
      <c r="C652" s="2" t="s">
        <v>56</v>
      </c>
      <c r="D652" s="2" t="s">
        <v>36</v>
      </c>
      <c r="E652" s="2" t="s">
        <v>37</v>
      </c>
      <c r="F652" s="2" t="s">
        <v>49</v>
      </c>
      <c r="G652" s="2">
        <f>91-22-26816699</f>
        <v>-26816630</v>
      </c>
      <c r="H652" s="2"/>
      <c r="I652" s="2"/>
      <c r="J652" s="2" t="s">
        <v>526</v>
      </c>
      <c r="K652" s="2"/>
      <c r="L652" s="2" t="s">
        <v>2644</v>
      </c>
      <c r="M652" s="2"/>
      <c r="N652" s="2"/>
      <c r="O652" s="2"/>
      <c r="P652" s="2" t="s">
        <v>31</v>
      </c>
      <c r="Q652" s="4">
        <v>45982</v>
      </c>
      <c r="R652" s="2"/>
      <c r="S652" s="2">
        <v>2</v>
      </c>
      <c r="T652" s="2" t="s">
        <v>1841</v>
      </c>
      <c r="U652" s="2" t="s">
        <v>34</v>
      </c>
    </row>
    <row r="653" spans="1:21" ht="90" x14ac:dyDescent="0.25">
      <c r="A653" s="2">
        <v>67</v>
      </c>
      <c r="B653" s="2" t="s">
        <v>2645</v>
      </c>
      <c r="C653" s="2" t="s">
        <v>56</v>
      </c>
      <c r="D653" s="2" t="s">
        <v>57</v>
      </c>
      <c r="E653" s="2" t="s">
        <v>1912</v>
      </c>
      <c r="F653" s="2" t="s">
        <v>49</v>
      </c>
      <c r="G653" s="2">
        <f>91-120-4517788</f>
        <v>-4517817</v>
      </c>
      <c r="H653" s="2"/>
      <c r="I653" s="2"/>
      <c r="J653" s="2" t="s">
        <v>1912</v>
      </c>
      <c r="K653" s="2"/>
      <c r="L653" s="2" t="s">
        <v>2646</v>
      </c>
      <c r="M653" s="2"/>
      <c r="N653" s="2"/>
      <c r="O653" s="2"/>
      <c r="P653" s="2" t="s">
        <v>31</v>
      </c>
      <c r="Q653" s="4">
        <v>45982</v>
      </c>
      <c r="R653" s="2"/>
      <c r="S653" s="2">
        <v>2</v>
      </c>
      <c r="T653" s="2" t="s">
        <v>1841</v>
      </c>
      <c r="U653" s="2" t="s">
        <v>34</v>
      </c>
    </row>
    <row r="654" spans="1:21" ht="45" x14ac:dyDescent="0.25">
      <c r="A654" s="1" t="s">
        <v>0</v>
      </c>
      <c r="B654" s="1" t="s">
        <v>1</v>
      </c>
      <c r="C654" s="1" t="s">
        <v>2</v>
      </c>
      <c r="D654" s="1" t="s">
        <v>3</v>
      </c>
      <c r="E654" s="1" t="s">
        <v>4</v>
      </c>
      <c r="F654" s="1" t="s">
        <v>5</v>
      </c>
      <c r="G654" s="1" t="s">
        <v>6</v>
      </c>
      <c r="H654" s="1" t="s">
        <v>7</v>
      </c>
      <c r="I654" s="1" t="s">
        <v>8</v>
      </c>
      <c r="J654" s="1" t="s">
        <v>9</v>
      </c>
      <c r="K654" s="1" t="s">
        <v>10</v>
      </c>
      <c r="L654" s="1" t="s">
        <v>11</v>
      </c>
      <c r="M654" s="1" t="s">
        <v>12</v>
      </c>
      <c r="N654" s="1" t="s">
        <v>13</v>
      </c>
      <c r="O654" s="1" t="s">
        <v>14</v>
      </c>
      <c r="P654" s="1" t="s">
        <v>15</v>
      </c>
      <c r="Q654" s="1" t="s">
        <v>16</v>
      </c>
      <c r="R654" s="1" t="s">
        <v>17</v>
      </c>
      <c r="S654" s="1" t="s">
        <v>18</v>
      </c>
      <c r="T654" s="1" t="s">
        <v>19</v>
      </c>
      <c r="U654" s="1" t="s">
        <v>20</v>
      </c>
    </row>
    <row r="655" spans="1:21" ht="150" x14ac:dyDescent="0.25">
      <c r="A655" s="2">
        <v>68</v>
      </c>
      <c r="B655" s="2" t="s">
        <v>2647</v>
      </c>
      <c r="C655" s="2" t="s">
        <v>22</v>
      </c>
      <c r="D655" s="2" t="s">
        <v>147</v>
      </c>
      <c r="E655" s="2" t="s">
        <v>148</v>
      </c>
      <c r="F655" s="2" t="s">
        <v>2648</v>
      </c>
      <c r="G655" s="2">
        <f>91-33-22891724</f>
        <v>-22891666</v>
      </c>
      <c r="H655" s="3" t="s">
        <v>1725</v>
      </c>
      <c r="I655" s="3" t="s">
        <v>2649</v>
      </c>
      <c r="J655" s="2" t="s">
        <v>2650</v>
      </c>
      <c r="K655" s="2"/>
      <c r="L655" s="2"/>
      <c r="M655" s="2" t="s">
        <v>2651</v>
      </c>
      <c r="N655" s="2"/>
      <c r="O655" s="2"/>
      <c r="P655" s="2" t="s">
        <v>31</v>
      </c>
      <c r="Q655" s="4">
        <v>45982</v>
      </c>
      <c r="R655" s="2"/>
      <c r="S655" s="2">
        <v>2</v>
      </c>
      <c r="T655" s="2" t="s">
        <v>1879</v>
      </c>
      <c r="U655" s="2" t="s">
        <v>34</v>
      </c>
    </row>
    <row r="656" spans="1:21" ht="105" x14ac:dyDescent="0.25">
      <c r="A656" s="2">
        <v>68</v>
      </c>
      <c r="B656" s="2" t="s">
        <v>2652</v>
      </c>
      <c r="C656" s="2" t="s">
        <v>22</v>
      </c>
      <c r="D656" s="2" t="s">
        <v>970</v>
      </c>
      <c r="E656" s="2" t="s">
        <v>1995</v>
      </c>
      <c r="F656" s="2" t="s">
        <v>38</v>
      </c>
      <c r="G656" s="2">
        <f>91-141-2221761</f>
        <v>-2221811</v>
      </c>
      <c r="H656" s="3" t="s">
        <v>2653</v>
      </c>
      <c r="I656" s="3" t="s">
        <v>2649</v>
      </c>
      <c r="J656" s="2" t="s">
        <v>2654</v>
      </c>
      <c r="K656" s="2"/>
      <c r="L656" s="2"/>
      <c r="M656" s="2"/>
      <c r="N656" s="2"/>
      <c r="O656" s="2"/>
      <c r="P656" s="2" t="s">
        <v>31</v>
      </c>
      <c r="Q656" s="4">
        <v>45982</v>
      </c>
      <c r="R656" s="2" t="s">
        <v>2655</v>
      </c>
      <c r="S656" s="2">
        <v>2</v>
      </c>
      <c r="T656" s="2" t="s">
        <v>1879</v>
      </c>
      <c r="U656" s="2" t="s">
        <v>34</v>
      </c>
    </row>
    <row r="657" spans="1:21" ht="210" x14ac:dyDescent="0.25">
      <c r="A657" s="2">
        <v>68</v>
      </c>
      <c r="B657" s="2" t="s">
        <v>2656</v>
      </c>
      <c r="C657" s="2" t="s">
        <v>233</v>
      </c>
      <c r="D657" s="2" t="s">
        <v>970</v>
      </c>
      <c r="E657" s="2" t="s">
        <v>1995</v>
      </c>
      <c r="F657" s="2" t="s">
        <v>113</v>
      </c>
      <c r="G657" s="2">
        <f>91-141-4029000</f>
        <v>-4029050</v>
      </c>
      <c r="H657" s="3" t="s">
        <v>2657</v>
      </c>
      <c r="I657" s="3" t="s">
        <v>2658</v>
      </c>
      <c r="J657" s="2" t="s">
        <v>2659</v>
      </c>
      <c r="K657" s="2"/>
      <c r="L657" s="2"/>
      <c r="M657" s="2"/>
      <c r="N657" s="2"/>
      <c r="O657" s="2"/>
      <c r="P657" s="2" t="s">
        <v>31</v>
      </c>
      <c r="Q657" s="4">
        <v>45982</v>
      </c>
      <c r="R657" s="2" t="s">
        <v>2660</v>
      </c>
      <c r="S657" s="2">
        <v>2</v>
      </c>
      <c r="T657" s="2" t="s">
        <v>1879</v>
      </c>
      <c r="U657" s="2" t="s">
        <v>34</v>
      </c>
    </row>
    <row r="658" spans="1:21" ht="135" x14ac:dyDescent="0.25">
      <c r="A658" s="2">
        <v>68</v>
      </c>
      <c r="B658" s="2" t="s">
        <v>2661</v>
      </c>
      <c r="C658" s="2" t="s">
        <v>22</v>
      </c>
      <c r="D658" s="2" t="s">
        <v>298</v>
      </c>
      <c r="E658" s="2" t="s">
        <v>578</v>
      </c>
      <c r="F658" s="2" t="s">
        <v>476</v>
      </c>
      <c r="G658" s="2">
        <f>91-80-25212872</f>
        <v>-25212861</v>
      </c>
      <c r="H658" s="3" t="s">
        <v>2662</v>
      </c>
      <c r="I658" s="3" t="s">
        <v>2663</v>
      </c>
      <c r="J658" s="2" t="s">
        <v>2664</v>
      </c>
      <c r="K658" s="2"/>
      <c r="L658" s="2"/>
      <c r="M658" s="2"/>
      <c r="N658" s="2"/>
      <c r="O658" s="2"/>
      <c r="P658" s="2" t="s">
        <v>31</v>
      </c>
      <c r="Q658" s="4">
        <v>45982</v>
      </c>
      <c r="R658" s="2" t="s">
        <v>2665</v>
      </c>
      <c r="S658" s="2">
        <v>2</v>
      </c>
      <c r="T658" s="2" t="s">
        <v>1879</v>
      </c>
      <c r="U658" s="2" t="s">
        <v>34</v>
      </c>
    </row>
    <row r="659" spans="1:21" ht="120" x14ac:dyDescent="0.25">
      <c r="A659" s="2">
        <v>68</v>
      </c>
      <c r="B659" s="2" t="s">
        <v>2666</v>
      </c>
      <c r="C659" s="2" t="s">
        <v>22</v>
      </c>
      <c r="D659" s="2" t="s">
        <v>970</v>
      </c>
      <c r="E659" s="2" t="s">
        <v>2667</v>
      </c>
      <c r="F659" s="2" t="s">
        <v>476</v>
      </c>
      <c r="G659" s="2">
        <f>91-294-2521555</f>
        <v>-2521758</v>
      </c>
      <c r="H659" s="2"/>
      <c r="I659" s="2"/>
      <c r="J659" s="2" t="s">
        <v>2667</v>
      </c>
      <c r="K659" s="2"/>
      <c r="L659" s="2"/>
      <c r="M659" s="2"/>
      <c r="N659" s="2"/>
      <c r="O659" s="2"/>
      <c r="P659" s="2" t="s">
        <v>31</v>
      </c>
      <c r="Q659" s="4">
        <v>45982</v>
      </c>
      <c r="R659" s="2" t="s">
        <v>2668</v>
      </c>
      <c r="S659" s="2">
        <v>2</v>
      </c>
      <c r="T659" s="2" t="s">
        <v>1879</v>
      </c>
      <c r="U659" s="2" t="s">
        <v>34</v>
      </c>
    </row>
    <row r="660" spans="1:21" ht="105" x14ac:dyDescent="0.25">
      <c r="A660" s="2">
        <v>68</v>
      </c>
      <c r="B660" s="2" t="s">
        <v>2669</v>
      </c>
      <c r="C660" s="2" t="s">
        <v>119</v>
      </c>
      <c r="D660" s="2" t="s">
        <v>970</v>
      </c>
      <c r="E660" s="2" t="s">
        <v>1995</v>
      </c>
      <c r="F660" s="2" t="s">
        <v>49</v>
      </c>
      <c r="G660" s="2">
        <f>91-141-4029000</f>
        <v>-4029050</v>
      </c>
      <c r="H660" s="2"/>
      <c r="I660" s="3" t="s">
        <v>2658</v>
      </c>
      <c r="J660" s="2" t="s">
        <v>1995</v>
      </c>
      <c r="K660" s="2"/>
      <c r="L660" s="2"/>
      <c r="M660" s="2"/>
      <c r="N660" s="2"/>
      <c r="O660" s="2"/>
      <c r="P660" s="2" t="s">
        <v>31</v>
      </c>
      <c r="Q660" s="4">
        <v>45982</v>
      </c>
      <c r="R660" s="2" t="s">
        <v>2670</v>
      </c>
      <c r="S660" s="2">
        <v>2</v>
      </c>
      <c r="T660" s="2" t="s">
        <v>1879</v>
      </c>
      <c r="U660" s="2" t="s">
        <v>34</v>
      </c>
    </row>
    <row r="661" spans="1:21" ht="105" x14ac:dyDescent="0.25">
      <c r="A661" s="2">
        <v>68</v>
      </c>
      <c r="B661" s="2" t="s">
        <v>2671</v>
      </c>
      <c r="C661" s="2" t="s">
        <v>426</v>
      </c>
      <c r="D661" s="2" t="s">
        <v>970</v>
      </c>
      <c r="E661" s="2" t="s">
        <v>2672</v>
      </c>
      <c r="F661" s="2" t="s">
        <v>476</v>
      </c>
      <c r="G661" s="2">
        <f>91-1463-250000</f>
        <v>-251372</v>
      </c>
      <c r="H661" s="2"/>
      <c r="I661" s="2"/>
      <c r="J661" s="2" t="s">
        <v>2673</v>
      </c>
      <c r="K661" s="2"/>
      <c r="L661" s="2"/>
      <c r="M661" s="2"/>
      <c r="N661" s="2"/>
      <c r="O661" s="2"/>
      <c r="P661" s="2" t="s">
        <v>31</v>
      </c>
      <c r="Q661" s="4">
        <v>45982</v>
      </c>
      <c r="R661" s="2" t="s">
        <v>2674</v>
      </c>
      <c r="S661" s="2">
        <v>2</v>
      </c>
      <c r="T661" s="2" t="s">
        <v>1879</v>
      </c>
      <c r="U661" s="2" t="s">
        <v>34</v>
      </c>
    </row>
    <row r="662" spans="1:21" ht="75" x14ac:dyDescent="0.25">
      <c r="A662" s="2">
        <v>68</v>
      </c>
      <c r="B662" s="2" t="s">
        <v>2675</v>
      </c>
      <c r="C662" s="2" t="s">
        <v>426</v>
      </c>
      <c r="D662" s="2" t="s">
        <v>970</v>
      </c>
      <c r="E662" s="2" t="s">
        <v>2667</v>
      </c>
      <c r="F662" s="2" t="s">
        <v>476</v>
      </c>
      <c r="G662" s="2">
        <f>91-294-2490000</f>
        <v>-2490203</v>
      </c>
      <c r="H662" s="2"/>
      <c r="I662" s="2"/>
      <c r="J662" s="2" t="s">
        <v>2667</v>
      </c>
      <c r="K662" s="2"/>
      <c r="L662" s="2"/>
      <c r="M662" s="2"/>
      <c r="N662" s="2"/>
      <c r="O662" s="2"/>
      <c r="P662" s="2" t="s">
        <v>31</v>
      </c>
      <c r="Q662" s="4">
        <v>45982</v>
      </c>
      <c r="R662" s="2" t="s">
        <v>2676</v>
      </c>
      <c r="S662" s="2">
        <v>2</v>
      </c>
      <c r="T662" s="2" t="s">
        <v>1879</v>
      </c>
      <c r="U662" s="2" t="s">
        <v>34</v>
      </c>
    </row>
    <row r="663" spans="1:21" ht="60" x14ac:dyDescent="0.25">
      <c r="A663" s="2">
        <v>68</v>
      </c>
      <c r="B663" s="2" t="s">
        <v>2677</v>
      </c>
      <c r="C663" s="2" t="s">
        <v>426</v>
      </c>
      <c r="D663" s="2" t="s">
        <v>298</v>
      </c>
      <c r="E663" s="2" t="s">
        <v>418</v>
      </c>
      <c r="F663" s="2" t="s">
        <v>476</v>
      </c>
      <c r="G663" s="2">
        <f>91-80-27820000</f>
        <v>-27819989</v>
      </c>
      <c r="H663" s="2"/>
      <c r="I663" s="2"/>
      <c r="J663" s="2" t="s">
        <v>2678</v>
      </c>
      <c r="K663" s="2"/>
      <c r="L663" s="2"/>
      <c r="M663" s="2"/>
      <c r="N663" s="2"/>
      <c r="O663" s="2"/>
      <c r="P663" s="2" t="s">
        <v>31</v>
      </c>
      <c r="Q663" s="4">
        <v>45982</v>
      </c>
      <c r="R663" s="2" t="s">
        <v>2679</v>
      </c>
      <c r="S663" s="2">
        <v>2</v>
      </c>
      <c r="T663" s="2" t="s">
        <v>1879</v>
      </c>
      <c r="U663" s="2" t="s">
        <v>34</v>
      </c>
    </row>
    <row r="664" spans="1:21" ht="90" x14ac:dyDescent="0.25">
      <c r="A664" s="2">
        <v>68</v>
      </c>
      <c r="B664" s="2" t="s">
        <v>2680</v>
      </c>
      <c r="C664" s="2" t="s">
        <v>56</v>
      </c>
      <c r="D664" s="2" t="s">
        <v>970</v>
      </c>
      <c r="E664" s="2" t="s">
        <v>2667</v>
      </c>
      <c r="F664" s="2" t="s">
        <v>59</v>
      </c>
      <c r="G664" s="2">
        <f>91-294-2490000</f>
        <v>-2490203</v>
      </c>
      <c r="H664" s="3" t="s">
        <v>2681</v>
      </c>
      <c r="I664" s="3" t="s">
        <v>2682</v>
      </c>
      <c r="J664" s="2" t="s">
        <v>2683</v>
      </c>
      <c r="K664" s="2"/>
      <c r="L664" s="2"/>
      <c r="M664" s="2"/>
      <c r="N664" s="2"/>
      <c r="O664" s="2"/>
      <c r="P664" s="2" t="s">
        <v>31</v>
      </c>
      <c r="Q664" s="4">
        <v>45982</v>
      </c>
      <c r="R664" s="2" t="s">
        <v>2684</v>
      </c>
      <c r="S664" s="2">
        <v>2</v>
      </c>
      <c r="T664" s="2" t="s">
        <v>1879</v>
      </c>
      <c r="U664" s="2" t="s">
        <v>34</v>
      </c>
    </row>
    <row r="665" spans="1:21" ht="60" x14ac:dyDescent="0.25">
      <c r="A665" s="2">
        <v>68</v>
      </c>
      <c r="B665" s="2" t="s">
        <v>2685</v>
      </c>
      <c r="C665" s="2" t="s">
        <v>56</v>
      </c>
      <c r="D665" s="2" t="s">
        <v>23</v>
      </c>
      <c r="E665" s="2" t="s">
        <v>24</v>
      </c>
      <c r="F665" s="2" t="s">
        <v>49</v>
      </c>
      <c r="G665" s="2">
        <f>91-11-49851000</f>
        <v>-49850920</v>
      </c>
      <c r="H665" s="3" t="s">
        <v>2686</v>
      </c>
      <c r="I665" s="3" t="s">
        <v>2687</v>
      </c>
      <c r="J665" s="2" t="s">
        <v>2688</v>
      </c>
      <c r="K665" s="2"/>
      <c r="L665" s="2"/>
      <c r="M665" s="2"/>
      <c r="N665" s="2"/>
      <c r="O665" s="2"/>
      <c r="P665" s="2" t="s">
        <v>31</v>
      </c>
      <c r="Q665" s="4">
        <v>45982</v>
      </c>
      <c r="R665" s="2" t="s">
        <v>2689</v>
      </c>
      <c r="S665" s="2">
        <v>2</v>
      </c>
      <c r="T665" s="2" t="s">
        <v>1879</v>
      </c>
      <c r="U665" s="2" t="s">
        <v>34</v>
      </c>
    </row>
    <row r="666" spans="1:21" ht="75" x14ac:dyDescent="0.25">
      <c r="A666" s="2">
        <v>68</v>
      </c>
      <c r="B666" s="2" t="s">
        <v>2690</v>
      </c>
      <c r="C666" s="2" t="s">
        <v>56</v>
      </c>
      <c r="D666" s="2" t="s">
        <v>43</v>
      </c>
      <c r="E666" s="2" t="s">
        <v>44</v>
      </c>
      <c r="F666" s="2" t="s">
        <v>59</v>
      </c>
      <c r="G666" s="2">
        <f>91-40-27842122</f>
        <v>-27842071</v>
      </c>
      <c r="H666" s="3" t="s">
        <v>2691</v>
      </c>
      <c r="I666" s="3" t="s">
        <v>2692</v>
      </c>
      <c r="J666" s="2" t="s">
        <v>2693</v>
      </c>
      <c r="K666" s="2"/>
      <c r="L666" s="2"/>
      <c r="M666" s="2"/>
      <c r="N666" s="2"/>
      <c r="O666" s="2"/>
      <c r="P666" s="2" t="s">
        <v>31</v>
      </c>
      <c r="Q666" s="4">
        <v>45982</v>
      </c>
      <c r="R666" s="2" t="s">
        <v>2694</v>
      </c>
      <c r="S666" s="2">
        <v>2</v>
      </c>
      <c r="T666" s="2" t="s">
        <v>1879</v>
      </c>
      <c r="U666" s="2" t="s">
        <v>34</v>
      </c>
    </row>
    <row r="667" spans="1:21" ht="75" x14ac:dyDescent="0.25">
      <c r="A667" s="2">
        <v>68</v>
      </c>
      <c r="B667" s="2" t="s">
        <v>2695</v>
      </c>
      <c r="C667" s="2" t="s">
        <v>56</v>
      </c>
      <c r="D667" s="2" t="s">
        <v>153</v>
      </c>
      <c r="E667" s="2" t="s">
        <v>355</v>
      </c>
      <c r="F667" s="2" t="s">
        <v>59</v>
      </c>
      <c r="G667" s="2">
        <f>91-79-66125500</f>
        <v>-66125488</v>
      </c>
      <c r="H667" s="3" t="s">
        <v>2696</v>
      </c>
      <c r="I667" s="3" t="s">
        <v>2697</v>
      </c>
      <c r="J667" s="2" t="s">
        <v>2698</v>
      </c>
      <c r="K667" s="2"/>
      <c r="L667" s="2"/>
      <c r="M667" s="2"/>
      <c r="N667" s="2"/>
      <c r="O667" s="2"/>
      <c r="P667" s="2" t="s">
        <v>31</v>
      </c>
      <c r="Q667" s="4">
        <v>45982</v>
      </c>
      <c r="R667" s="2" t="s">
        <v>2699</v>
      </c>
      <c r="S667" s="2">
        <v>2</v>
      </c>
      <c r="T667" s="2" t="s">
        <v>1879</v>
      </c>
      <c r="U667" s="2" t="s">
        <v>34</v>
      </c>
    </row>
    <row r="668" spans="1:21" ht="60" x14ac:dyDescent="0.25">
      <c r="A668" s="2">
        <v>68</v>
      </c>
      <c r="B668" s="2" t="s">
        <v>2700</v>
      </c>
      <c r="C668" s="2" t="s">
        <v>56</v>
      </c>
      <c r="D668" s="2" t="s">
        <v>970</v>
      </c>
      <c r="E668" s="2" t="s">
        <v>2667</v>
      </c>
      <c r="F668" s="2" t="s">
        <v>49</v>
      </c>
      <c r="G668" s="2">
        <f>91-294-2441444</f>
        <v>-2441647</v>
      </c>
      <c r="H668" s="3" t="s">
        <v>2701</v>
      </c>
      <c r="I668" s="3" t="s">
        <v>2702</v>
      </c>
      <c r="J668" s="2" t="s">
        <v>2703</v>
      </c>
      <c r="K668" s="2"/>
      <c r="L668" s="2"/>
      <c r="M668" s="2"/>
      <c r="N668" s="2"/>
      <c r="O668" s="2"/>
      <c r="P668" s="2" t="s">
        <v>31</v>
      </c>
      <c r="Q668" s="4">
        <v>45982</v>
      </c>
      <c r="R668" s="2" t="s">
        <v>2704</v>
      </c>
      <c r="S668" s="2">
        <v>2</v>
      </c>
      <c r="T668" s="2" t="s">
        <v>1879</v>
      </c>
      <c r="U668" s="2" t="s">
        <v>34</v>
      </c>
    </row>
    <row r="669" spans="1:21" ht="90" x14ac:dyDescent="0.25">
      <c r="A669" s="2">
        <v>68</v>
      </c>
      <c r="B669" s="2" t="s">
        <v>2705</v>
      </c>
      <c r="C669" s="2" t="s">
        <v>623</v>
      </c>
      <c r="D669" s="2" t="s">
        <v>970</v>
      </c>
      <c r="E669" s="2" t="s">
        <v>2672</v>
      </c>
      <c r="F669" s="2" t="s">
        <v>476</v>
      </c>
      <c r="G669" s="2">
        <f>91-1463-250111</f>
        <v>-251483</v>
      </c>
      <c r="H669" s="2"/>
      <c r="I669" s="2"/>
      <c r="J669" s="2" t="s">
        <v>2673</v>
      </c>
      <c r="K669" s="2"/>
      <c r="L669" s="2"/>
      <c r="M669" s="2"/>
      <c r="N669" s="2"/>
      <c r="O669" s="2"/>
      <c r="P669" s="2" t="s">
        <v>31</v>
      </c>
      <c r="Q669" s="4">
        <v>45982</v>
      </c>
      <c r="R669" s="2" t="s">
        <v>2706</v>
      </c>
      <c r="S669" s="2">
        <v>2</v>
      </c>
      <c r="T669" s="2" t="s">
        <v>1879</v>
      </c>
      <c r="U669" s="2" t="s">
        <v>34</v>
      </c>
    </row>
    <row r="670" spans="1:21" ht="45" x14ac:dyDescent="0.25">
      <c r="A670" s="1" t="s">
        <v>0</v>
      </c>
      <c r="B670" s="1" t="s">
        <v>1</v>
      </c>
      <c r="C670" s="1" t="s">
        <v>2</v>
      </c>
      <c r="D670" s="1" t="s">
        <v>3</v>
      </c>
      <c r="E670" s="1" t="s">
        <v>4</v>
      </c>
      <c r="F670" s="1" t="s">
        <v>5</v>
      </c>
      <c r="G670" s="1" t="s">
        <v>6</v>
      </c>
      <c r="H670" s="1" t="s">
        <v>7</v>
      </c>
      <c r="I670" s="1" t="s">
        <v>8</v>
      </c>
      <c r="J670" s="1" t="s">
        <v>9</v>
      </c>
      <c r="K670" s="1" t="s">
        <v>10</v>
      </c>
      <c r="L670" s="1" t="s">
        <v>11</v>
      </c>
      <c r="M670" s="1" t="s">
        <v>12</v>
      </c>
      <c r="N670" s="1" t="s">
        <v>13</v>
      </c>
      <c r="O670" s="1" t="s">
        <v>14</v>
      </c>
      <c r="P670" s="1" t="s">
        <v>15</v>
      </c>
      <c r="Q670" s="1" t="s">
        <v>16</v>
      </c>
      <c r="R670" s="1" t="s">
        <v>17</v>
      </c>
      <c r="S670" s="1" t="s">
        <v>18</v>
      </c>
      <c r="T670" s="1" t="s">
        <v>19</v>
      </c>
      <c r="U670" s="1" t="s">
        <v>20</v>
      </c>
    </row>
    <row r="671" spans="1:21" ht="210" x14ac:dyDescent="0.25">
      <c r="A671" s="2">
        <v>69</v>
      </c>
      <c r="B671" s="2" t="s">
        <v>2707</v>
      </c>
      <c r="C671" s="2" t="s">
        <v>22</v>
      </c>
      <c r="D671" s="2" t="s">
        <v>147</v>
      </c>
      <c r="E671" s="2" t="s">
        <v>148</v>
      </c>
      <c r="F671" s="2" t="s">
        <v>2708</v>
      </c>
      <c r="G671" s="2">
        <f>91-33-22891724</f>
        <v>-22891666</v>
      </c>
      <c r="H671" s="3" t="s">
        <v>1725</v>
      </c>
      <c r="I671" s="3" t="s">
        <v>2649</v>
      </c>
      <c r="J671" s="2" t="s">
        <v>2650</v>
      </c>
      <c r="K671" s="2"/>
      <c r="L671" s="2"/>
      <c r="M671" s="2" t="s">
        <v>2709</v>
      </c>
      <c r="N671" s="2"/>
      <c r="O671" s="2"/>
      <c r="P671" s="2" t="s">
        <v>31</v>
      </c>
      <c r="Q671" s="4">
        <v>45982</v>
      </c>
      <c r="R671" s="2"/>
      <c r="S671" s="2">
        <v>2</v>
      </c>
      <c r="T671" s="2" t="s">
        <v>1935</v>
      </c>
      <c r="U671" s="2" t="s">
        <v>34</v>
      </c>
    </row>
    <row r="672" spans="1:21" ht="105" x14ac:dyDescent="0.25">
      <c r="A672" s="2">
        <v>69</v>
      </c>
      <c r="B672" s="2" t="s">
        <v>2710</v>
      </c>
      <c r="C672" s="2" t="s">
        <v>22</v>
      </c>
      <c r="D672" s="2" t="s">
        <v>153</v>
      </c>
      <c r="E672" s="2" t="s">
        <v>903</v>
      </c>
      <c r="F672" s="2" t="s">
        <v>38</v>
      </c>
      <c r="G672" s="2">
        <f>91-2822-296789</f>
        <v>-299520</v>
      </c>
      <c r="H672" s="3" t="s">
        <v>2711</v>
      </c>
      <c r="I672" s="3" t="s">
        <v>2649</v>
      </c>
      <c r="J672" s="2" t="s">
        <v>2712</v>
      </c>
      <c r="K672" s="2"/>
      <c r="L672" s="2"/>
      <c r="M672" s="2"/>
      <c r="N672" s="2"/>
      <c r="O672" s="2"/>
      <c r="P672" s="2" t="s">
        <v>31</v>
      </c>
      <c r="Q672" s="4">
        <v>45982</v>
      </c>
      <c r="R672" s="2" t="s">
        <v>2713</v>
      </c>
      <c r="S672" s="2">
        <v>2</v>
      </c>
      <c r="T672" s="2" t="s">
        <v>1935</v>
      </c>
      <c r="U672" s="2" t="s">
        <v>34</v>
      </c>
    </row>
    <row r="673" spans="1:21" ht="120" x14ac:dyDescent="0.25">
      <c r="A673" s="2">
        <v>69</v>
      </c>
      <c r="B673" s="2" t="s">
        <v>2714</v>
      </c>
      <c r="C673" s="2" t="s">
        <v>22</v>
      </c>
      <c r="D673" s="2" t="s">
        <v>23</v>
      </c>
      <c r="E673" s="2" t="s">
        <v>24</v>
      </c>
      <c r="F673" s="2" t="s">
        <v>476</v>
      </c>
      <c r="G673" s="2">
        <f>91-11-40574500</f>
        <v>-40574420</v>
      </c>
      <c r="H673" s="3" t="s">
        <v>2715</v>
      </c>
      <c r="I673" s="3" t="s">
        <v>2716</v>
      </c>
      <c r="J673" s="2" t="s">
        <v>2717</v>
      </c>
      <c r="K673" s="2"/>
      <c r="L673" s="2"/>
      <c r="M673" s="2"/>
      <c r="N673" s="2"/>
      <c r="O673" s="2"/>
      <c r="P673" s="2" t="s">
        <v>31</v>
      </c>
      <c r="Q673" s="4">
        <v>45982</v>
      </c>
      <c r="R673" s="2" t="s">
        <v>2718</v>
      </c>
      <c r="S673" s="2">
        <v>2</v>
      </c>
      <c r="T673" s="2" t="s">
        <v>1935</v>
      </c>
      <c r="U673" s="2" t="s">
        <v>34</v>
      </c>
    </row>
    <row r="674" spans="1:21" ht="90" x14ac:dyDescent="0.25">
      <c r="A674" s="2">
        <v>69</v>
      </c>
      <c r="B674" s="2" t="s">
        <v>2719</v>
      </c>
      <c r="C674" s="2" t="s">
        <v>22</v>
      </c>
      <c r="D674" s="2" t="s">
        <v>153</v>
      </c>
      <c r="E674" s="2" t="s">
        <v>903</v>
      </c>
      <c r="F674" s="2" t="s">
        <v>476</v>
      </c>
      <c r="G674" s="2">
        <f>91-2822-296789</f>
        <v>-299520</v>
      </c>
      <c r="H674" s="2"/>
      <c r="I674" s="2"/>
      <c r="J674" s="2" t="s">
        <v>2712</v>
      </c>
      <c r="K674" s="2"/>
      <c r="L674" s="2"/>
      <c r="M674" s="2"/>
      <c r="N674" s="2"/>
      <c r="O674" s="2"/>
      <c r="P674" s="2" t="s">
        <v>31</v>
      </c>
      <c r="Q674" s="4">
        <v>45982</v>
      </c>
      <c r="R674" s="2" t="s">
        <v>2720</v>
      </c>
      <c r="S674" s="2">
        <v>2</v>
      </c>
      <c r="T674" s="2" t="s">
        <v>1935</v>
      </c>
      <c r="U674" s="2" t="s">
        <v>34</v>
      </c>
    </row>
    <row r="675" spans="1:21" ht="120" x14ac:dyDescent="0.25">
      <c r="A675" s="2">
        <v>69</v>
      </c>
      <c r="B675" s="2" t="s">
        <v>2721</v>
      </c>
      <c r="C675" s="2" t="s">
        <v>22</v>
      </c>
      <c r="D675" s="2" t="s">
        <v>57</v>
      </c>
      <c r="E675" s="2" t="s">
        <v>2722</v>
      </c>
      <c r="F675" s="2" t="s">
        <v>476</v>
      </c>
      <c r="G675" s="2">
        <f>91-5738-244555</f>
        <v>-250202</v>
      </c>
      <c r="H675" s="2"/>
      <c r="I675" s="2"/>
      <c r="J675" s="2" t="s">
        <v>2723</v>
      </c>
      <c r="K675" s="2"/>
      <c r="L675" s="2"/>
      <c r="M675" s="2"/>
      <c r="N675" s="2"/>
      <c r="O675" s="2"/>
      <c r="P675" s="2" t="s">
        <v>31</v>
      </c>
      <c r="Q675" s="4">
        <v>45982</v>
      </c>
      <c r="R675" s="2" t="s">
        <v>2724</v>
      </c>
      <c r="S675" s="2">
        <v>2</v>
      </c>
      <c r="T675" s="2" t="s">
        <v>1935</v>
      </c>
      <c r="U675" s="2" t="s">
        <v>34</v>
      </c>
    </row>
    <row r="676" spans="1:21" ht="105" x14ac:dyDescent="0.25">
      <c r="A676" s="2">
        <v>69</v>
      </c>
      <c r="B676" s="2" t="s">
        <v>2725</v>
      </c>
      <c r="C676" s="2" t="s">
        <v>119</v>
      </c>
      <c r="D676" s="2" t="s">
        <v>147</v>
      </c>
      <c r="E676" s="2" t="s">
        <v>148</v>
      </c>
      <c r="F676" s="2" t="s">
        <v>49</v>
      </c>
      <c r="G676" s="2">
        <f>91-33-24838086</f>
        <v>-24838028</v>
      </c>
      <c r="H676" s="3" t="s">
        <v>2726</v>
      </c>
      <c r="I676" s="3" t="s">
        <v>2727</v>
      </c>
      <c r="J676" s="2" t="s">
        <v>2728</v>
      </c>
      <c r="K676" s="2"/>
      <c r="L676" s="2"/>
      <c r="M676" s="2"/>
      <c r="N676" s="2"/>
      <c r="O676" s="2"/>
      <c r="P676" s="2" t="s">
        <v>31</v>
      </c>
      <c r="Q676" s="4">
        <v>45982</v>
      </c>
      <c r="R676" s="2" t="s">
        <v>2729</v>
      </c>
      <c r="S676" s="2">
        <v>2</v>
      </c>
      <c r="T676" s="2" t="s">
        <v>1935</v>
      </c>
      <c r="U676" s="2" t="s">
        <v>34</v>
      </c>
    </row>
    <row r="677" spans="1:21" ht="60" x14ac:dyDescent="0.25">
      <c r="A677" s="2">
        <v>69</v>
      </c>
      <c r="B677" s="2" t="s">
        <v>2730</v>
      </c>
      <c r="C677" s="2" t="s">
        <v>426</v>
      </c>
      <c r="D677" s="2" t="s">
        <v>153</v>
      </c>
      <c r="E677" s="2" t="s">
        <v>903</v>
      </c>
      <c r="F677" s="2" t="s">
        <v>2621</v>
      </c>
      <c r="G677" s="2">
        <f>91-2822-296789</f>
        <v>-299520</v>
      </c>
      <c r="H677" s="2"/>
      <c r="I677" s="2"/>
      <c r="J677" s="2" t="s">
        <v>2731</v>
      </c>
      <c r="K677" s="2"/>
      <c r="L677" s="2"/>
      <c r="M677" s="2"/>
      <c r="N677" s="2"/>
      <c r="O677" s="2"/>
      <c r="P677" s="2" t="s">
        <v>31</v>
      </c>
      <c r="Q677" s="4">
        <v>45982</v>
      </c>
      <c r="R677" s="2" t="s">
        <v>2732</v>
      </c>
      <c r="S677" s="2">
        <v>2</v>
      </c>
      <c r="T677" s="2" t="s">
        <v>1935</v>
      </c>
      <c r="U677" s="2" t="s">
        <v>34</v>
      </c>
    </row>
    <row r="678" spans="1:21" ht="90" x14ac:dyDescent="0.25">
      <c r="A678" s="2">
        <v>69</v>
      </c>
      <c r="B678" s="2" t="s">
        <v>2733</v>
      </c>
      <c r="C678" s="2" t="s">
        <v>623</v>
      </c>
      <c r="D678" s="2" t="s">
        <v>57</v>
      </c>
      <c r="E678" s="2" t="s">
        <v>2722</v>
      </c>
      <c r="F678" s="2" t="s">
        <v>476</v>
      </c>
      <c r="G678" s="2">
        <f>91-5738-244666</f>
        <v>-250313</v>
      </c>
      <c r="H678" s="2"/>
      <c r="I678" s="2"/>
      <c r="J678" s="2" t="s">
        <v>2723</v>
      </c>
      <c r="K678" s="2"/>
      <c r="L678" s="2"/>
      <c r="M678" s="2"/>
      <c r="N678" s="2"/>
      <c r="O678" s="2"/>
      <c r="P678" s="2" t="s">
        <v>31</v>
      </c>
      <c r="Q678" s="4">
        <v>45982</v>
      </c>
      <c r="R678" s="2" t="s">
        <v>2734</v>
      </c>
      <c r="S678" s="2">
        <v>2</v>
      </c>
      <c r="T678" s="2" t="s">
        <v>1935</v>
      </c>
      <c r="U678" s="2" t="s">
        <v>34</v>
      </c>
    </row>
    <row r="679" spans="1:21" ht="75" x14ac:dyDescent="0.25">
      <c r="A679" s="2">
        <v>69</v>
      </c>
      <c r="B679" s="2" t="s">
        <v>2735</v>
      </c>
      <c r="C679" s="2" t="s">
        <v>56</v>
      </c>
      <c r="D679" s="2" t="s">
        <v>321</v>
      </c>
      <c r="E679" s="2" t="s">
        <v>583</v>
      </c>
      <c r="F679" s="2" t="s">
        <v>59</v>
      </c>
      <c r="G679" s="2">
        <f>91-124-4792400</f>
        <v>-4792433</v>
      </c>
      <c r="H679" s="3" t="s">
        <v>2736</v>
      </c>
      <c r="I679" s="3" t="s">
        <v>2737</v>
      </c>
      <c r="J679" s="2" t="s">
        <v>2738</v>
      </c>
      <c r="K679" s="2"/>
      <c r="L679" s="2"/>
      <c r="M679" s="2"/>
      <c r="N679" s="2"/>
      <c r="O679" s="2"/>
      <c r="P679" s="2" t="s">
        <v>31</v>
      </c>
      <c r="Q679" s="4">
        <v>45982</v>
      </c>
      <c r="R679" s="2" t="s">
        <v>2739</v>
      </c>
      <c r="S679" s="2">
        <v>2</v>
      </c>
      <c r="T679" s="2" t="s">
        <v>1935</v>
      </c>
      <c r="U679" s="2" t="s">
        <v>34</v>
      </c>
    </row>
    <row r="680" spans="1:21" ht="75" x14ac:dyDescent="0.25">
      <c r="A680" s="2">
        <v>69</v>
      </c>
      <c r="B680" s="2" t="s">
        <v>2740</v>
      </c>
      <c r="C680" s="2" t="s">
        <v>56</v>
      </c>
      <c r="D680" s="2" t="s">
        <v>23</v>
      </c>
      <c r="E680" s="2" t="s">
        <v>24</v>
      </c>
      <c r="F680" s="2" t="s">
        <v>59</v>
      </c>
      <c r="G680" s="2">
        <f>91-11-46564656</f>
        <v>-46564576</v>
      </c>
      <c r="H680" s="3" t="s">
        <v>2741</v>
      </c>
      <c r="I680" s="3" t="s">
        <v>2742</v>
      </c>
      <c r="J680" s="2" t="s">
        <v>2738</v>
      </c>
      <c r="K680" s="2"/>
      <c r="L680" s="2"/>
      <c r="M680" s="2"/>
      <c r="N680" s="2"/>
      <c r="O680" s="2"/>
      <c r="P680" s="2" t="s">
        <v>31</v>
      </c>
      <c r="Q680" s="4">
        <v>45982</v>
      </c>
      <c r="R680" s="2" t="s">
        <v>2743</v>
      </c>
      <c r="S680" s="2">
        <v>2</v>
      </c>
      <c r="T680" s="2" t="s">
        <v>1935</v>
      </c>
      <c r="U680" s="2" t="s">
        <v>34</v>
      </c>
    </row>
    <row r="681" spans="1:21" ht="75" x14ac:dyDescent="0.25">
      <c r="A681" s="2">
        <v>69</v>
      </c>
      <c r="B681" s="2" t="s">
        <v>2744</v>
      </c>
      <c r="C681" s="2" t="s">
        <v>56</v>
      </c>
      <c r="D681" s="2" t="s">
        <v>36</v>
      </c>
      <c r="E681" s="2" t="s">
        <v>37</v>
      </c>
      <c r="F681" s="2" t="s">
        <v>49</v>
      </c>
      <c r="G681" s="2">
        <f>91-22-30615800</f>
        <v>-30615731</v>
      </c>
      <c r="H681" s="2"/>
      <c r="I681" s="2"/>
      <c r="J681" s="2" t="s">
        <v>2745</v>
      </c>
      <c r="K681" s="2"/>
      <c r="L681" s="2"/>
      <c r="M681" s="2"/>
      <c r="N681" s="2"/>
      <c r="O681" s="2"/>
      <c r="P681" s="2" t="s">
        <v>31</v>
      </c>
      <c r="Q681" s="4">
        <v>45982</v>
      </c>
      <c r="R681" s="2" t="s">
        <v>2746</v>
      </c>
      <c r="S681" s="2">
        <v>2</v>
      </c>
      <c r="T681" s="2" t="s">
        <v>1935</v>
      </c>
      <c r="U681" s="2" t="s">
        <v>34</v>
      </c>
    </row>
    <row r="682" spans="1:21" ht="60" x14ac:dyDescent="0.25">
      <c r="A682" s="2">
        <v>69</v>
      </c>
      <c r="B682" s="2" t="s">
        <v>2747</v>
      </c>
      <c r="C682" s="2" t="s">
        <v>56</v>
      </c>
      <c r="D682" s="2" t="s">
        <v>153</v>
      </c>
      <c r="E682" s="2" t="s">
        <v>355</v>
      </c>
      <c r="F682" s="2" t="s">
        <v>59</v>
      </c>
      <c r="G682" s="2">
        <f>91-79-66125678</f>
        <v>-66125666</v>
      </c>
      <c r="H682" s="3" t="s">
        <v>2748</v>
      </c>
      <c r="I682" s="3" t="s">
        <v>2749</v>
      </c>
      <c r="J682" s="2" t="s">
        <v>2750</v>
      </c>
      <c r="K682" s="2"/>
      <c r="L682" s="2"/>
      <c r="M682" s="2"/>
      <c r="N682" s="2"/>
      <c r="O682" s="2"/>
      <c r="P682" s="2" t="s">
        <v>31</v>
      </c>
      <c r="Q682" s="4">
        <v>45982</v>
      </c>
      <c r="R682" s="2" t="s">
        <v>2751</v>
      </c>
      <c r="S682" s="2">
        <v>2</v>
      </c>
      <c r="T682" s="2" t="s">
        <v>1935</v>
      </c>
      <c r="U682" s="2" t="s">
        <v>34</v>
      </c>
    </row>
    <row r="683" spans="1:21" ht="90" x14ac:dyDescent="0.25">
      <c r="A683" s="2">
        <v>69</v>
      </c>
      <c r="B683" s="2" t="s">
        <v>2695</v>
      </c>
      <c r="C683" s="2" t="s">
        <v>56</v>
      </c>
      <c r="D683" s="2" t="s">
        <v>153</v>
      </c>
      <c r="E683" s="2" t="s">
        <v>355</v>
      </c>
      <c r="F683" s="2" t="s">
        <v>59</v>
      </c>
      <c r="G683" s="2">
        <f>91-79-66125500</f>
        <v>-66125488</v>
      </c>
      <c r="H683" s="3" t="s">
        <v>2696</v>
      </c>
      <c r="I683" s="3" t="s">
        <v>2697</v>
      </c>
      <c r="J683" s="2" t="s">
        <v>2752</v>
      </c>
      <c r="K683" s="2"/>
      <c r="L683" s="2"/>
      <c r="M683" s="2"/>
      <c r="N683" s="2"/>
      <c r="O683" s="2"/>
      <c r="P683" s="2" t="s">
        <v>31</v>
      </c>
      <c r="Q683" s="4">
        <v>45982</v>
      </c>
      <c r="R683" s="2" t="s">
        <v>2753</v>
      </c>
      <c r="S683" s="2">
        <v>2</v>
      </c>
      <c r="T683" s="2" t="s">
        <v>1935</v>
      </c>
      <c r="U683" s="2" t="s">
        <v>34</v>
      </c>
    </row>
    <row r="684" spans="1:21" ht="75" x14ac:dyDescent="0.25">
      <c r="A684" s="2">
        <v>69</v>
      </c>
      <c r="B684" s="2" t="s">
        <v>2754</v>
      </c>
      <c r="C684" s="2" t="s">
        <v>56</v>
      </c>
      <c r="D684" s="2" t="s">
        <v>321</v>
      </c>
      <c r="E684" s="2" t="s">
        <v>583</v>
      </c>
      <c r="F684" s="2" t="s">
        <v>49</v>
      </c>
      <c r="G684" s="2">
        <f>91-124-4776800</f>
        <v>-4776833</v>
      </c>
      <c r="H684" s="2"/>
      <c r="I684" s="2"/>
      <c r="J684" s="2" t="s">
        <v>2755</v>
      </c>
      <c r="K684" s="2"/>
      <c r="L684" s="2"/>
      <c r="M684" s="2"/>
      <c r="N684" s="2"/>
      <c r="O684" s="2"/>
      <c r="P684" s="2" t="s">
        <v>31</v>
      </c>
      <c r="Q684" s="4">
        <v>45982</v>
      </c>
      <c r="R684" s="2" t="s">
        <v>2756</v>
      </c>
      <c r="S684" s="2">
        <v>2</v>
      </c>
      <c r="T684" s="2" t="s">
        <v>1935</v>
      </c>
      <c r="U684" s="2" t="s">
        <v>34</v>
      </c>
    </row>
    <row r="685" spans="1:21" ht="90" x14ac:dyDescent="0.25">
      <c r="A685" s="2">
        <v>69</v>
      </c>
      <c r="B685" s="2" t="s">
        <v>2757</v>
      </c>
      <c r="C685" s="2" t="s">
        <v>623</v>
      </c>
      <c r="D685" s="2" t="s">
        <v>57</v>
      </c>
      <c r="E685" s="2" t="s">
        <v>2722</v>
      </c>
      <c r="F685" s="2" t="s">
        <v>25</v>
      </c>
      <c r="G685" s="2">
        <f>91-5738-245678</f>
        <v>-251325</v>
      </c>
      <c r="H685" s="2"/>
      <c r="I685" s="2"/>
      <c r="J685" s="2" t="s">
        <v>2723</v>
      </c>
      <c r="K685" s="2"/>
      <c r="L685" s="2"/>
      <c r="M685" s="2"/>
      <c r="N685" s="2"/>
      <c r="O685" s="2"/>
      <c r="P685" s="2" t="s">
        <v>31</v>
      </c>
      <c r="Q685" s="4">
        <v>45982</v>
      </c>
      <c r="R685" s="2" t="s">
        <v>2758</v>
      </c>
      <c r="S685" s="2">
        <v>2</v>
      </c>
      <c r="T685" s="2" t="s">
        <v>1935</v>
      </c>
      <c r="U685" s="2" t="s">
        <v>34</v>
      </c>
    </row>
    <row r="686" spans="1:21" ht="45" x14ac:dyDescent="0.25">
      <c r="A686" s="1" t="s">
        <v>0</v>
      </c>
      <c r="B686" s="1" t="s">
        <v>1</v>
      </c>
      <c r="C686" s="1" t="s">
        <v>2</v>
      </c>
      <c r="D686" s="1" t="s">
        <v>3</v>
      </c>
      <c r="E686" s="1" t="s">
        <v>4</v>
      </c>
      <c r="F686" s="1" t="s">
        <v>5</v>
      </c>
      <c r="G686" s="1" t="s">
        <v>6</v>
      </c>
      <c r="H686" s="1" t="s">
        <v>7</v>
      </c>
      <c r="I686" s="1" t="s">
        <v>8</v>
      </c>
      <c r="J686" s="1" t="s">
        <v>9</v>
      </c>
      <c r="K686" s="1" t="s">
        <v>10</v>
      </c>
      <c r="L686" s="1" t="s">
        <v>11</v>
      </c>
      <c r="M686" s="1" t="s">
        <v>12</v>
      </c>
      <c r="N686" s="1" t="s">
        <v>13</v>
      </c>
      <c r="O686" s="1" t="s">
        <v>14</v>
      </c>
      <c r="P686" s="1" t="s">
        <v>15</v>
      </c>
      <c r="Q686" s="1" t="s">
        <v>16</v>
      </c>
      <c r="R686" s="1" t="s">
        <v>17</v>
      </c>
      <c r="S686" s="1" t="s">
        <v>18</v>
      </c>
      <c r="T686" s="1" t="s">
        <v>19</v>
      </c>
      <c r="U686" s="1" t="s">
        <v>20</v>
      </c>
    </row>
    <row r="687" spans="1:21" ht="120" x14ac:dyDescent="0.25">
      <c r="A687" s="2">
        <v>70</v>
      </c>
      <c r="B687" s="2" t="s">
        <v>2759</v>
      </c>
      <c r="C687" s="2" t="s">
        <v>22</v>
      </c>
      <c r="D687" s="2" t="s">
        <v>147</v>
      </c>
      <c r="E687" s="2" t="s">
        <v>148</v>
      </c>
      <c r="F687" s="2" t="s">
        <v>2760</v>
      </c>
      <c r="G687" s="2">
        <f>91-33-22891724</f>
        <v>-22891666</v>
      </c>
      <c r="H687" s="3" t="s">
        <v>1725</v>
      </c>
      <c r="I687" s="3" t="s">
        <v>2649</v>
      </c>
      <c r="J687" s="2" t="s">
        <v>2650</v>
      </c>
      <c r="K687" s="2"/>
      <c r="L687" s="2"/>
      <c r="M687" s="2" t="s">
        <v>2761</v>
      </c>
      <c r="N687" s="2"/>
      <c r="O687" s="2"/>
      <c r="P687" s="2" t="s">
        <v>31</v>
      </c>
      <c r="Q687" s="4">
        <v>45982</v>
      </c>
      <c r="R687" s="2"/>
      <c r="S687" s="2">
        <v>2</v>
      </c>
      <c r="T687" s="2" t="s">
        <v>1981</v>
      </c>
      <c r="U687" s="2" t="s">
        <v>34</v>
      </c>
    </row>
    <row r="688" spans="1:21" ht="120" x14ac:dyDescent="0.25">
      <c r="A688" s="2">
        <v>70</v>
      </c>
      <c r="B688" s="2" t="s">
        <v>2762</v>
      </c>
      <c r="C688" s="2" t="s">
        <v>22</v>
      </c>
      <c r="D688" s="2" t="s">
        <v>57</v>
      </c>
      <c r="E688" s="2" t="s">
        <v>2763</v>
      </c>
      <c r="F688" s="2" t="s">
        <v>38</v>
      </c>
      <c r="G688" s="2">
        <f>91-5612-241234</f>
        <v>-246755</v>
      </c>
      <c r="H688" s="3" t="s">
        <v>2764</v>
      </c>
      <c r="I688" s="3" t="s">
        <v>2649</v>
      </c>
      <c r="J688" s="2" t="s">
        <v>2763</v>
      </c>
      <c r="K688" s="2"/>
      <c r="L688" s="2"/>
      <c r="M688" s="2"/>
      <c r="N688" s="2"/>
      <c r="O688" s="2"/>
      <c r="P688" s="2" t="s">
        <v>31</v>
      </c>
      <c r="Q688" s="4">
        <v>45982</v>
      </c>
      <c r="R688" s="2" t="s">
        <v>2765</v>
      </c>
      <c r="S688" s="2">
        <v>2</v>
      </c>
      <c r="T688" s="2" t="s">
        <v>1981</v>
      </c>
      <c r="U688" s="2" t="s">
        <v>34</v>
      </c>
    </row>
    <row r="689" spans="1:21" ht="135" x14ac:dyDescent="0.25">
      <c r="A689" s="2">
        <v>70</v>
      </c>
      <c r="B689" s="2" t="s">
        <v>2766</v>
      </c>
      <c r="C689" s="2" t="s">
        <v>22</v>
      </c>
      <c r="D689" s="2" t="s">
        <v>23</v>
      </c>
      <c r="E689" s="2" t="s">
        <v>24</v>
      </c>
      <c r="F689" s="2" t="s">
        <v>476</v>
      </c>
      <c r="G689" s="2">
        <f>91-11-41010747</f>
        <v>-41010667</v>
      </c>
      <c r="H689" s="3" t="s">
        <v>2767</v>
      </c>
      <c r="I689" s="3" t="s">
        <v>2768</v>
      </c>
      <c r="J689" s="2" t="s">
        <v>2769</v>
      </c>
      <c r="K689" s="2"/>
      <c r="L689" s="2"/>
      <c r="M689" s="2"/>
      <c r="N689" s="2"/>
      <c r="O689" s="2"/>
      <c r="P689" s="2" t="s">
        <v>31</v>
      </c>
      <c r="Q689" s="4">
        <v>45982</v>
      </c>
      <c r="R689" s="2" t="s">
        <v>2770</v>
      </c>
      <c r="S689" s="2">
        <v>2</v>
      </c>
      <c r="T689" s="2" t="s">
        <v>1981</v>
      </c>
      <c r="U689" s="2" t="s">
        <v>34</v>
      </c>
    </row>
    <row r="690" spans="1:21" ht="105" x14ac:dyDescent="0.25">
      <c r="A690" s="2">
        <v>70</v>
      </c>
      <c r="B690" s="2" t="s">
        <v>2771</v>
      </c>
      <c r="C690" s="2" t="s">
        <v>22</v>
      </c>
      <c r="D690" s="2" t="s">
        <v>57</v>
      </c>
      <c r="E690" s="2" t="s">
        <v>2763</v>
      </c>
      <c r="F690" s="2" t="s">
        <v>476</v>
      </c>
      <c r="G690" s="2">
        <f>91-5612-241234</f>
        <v>-246755</v>
      </c>
      <c r="H690" s="2"/>
      <c r="I690" s="2"/>
      <c r="J690" s="2" t="s">
        <v>2763</v>
      </c>
      <c r="K690" s="2"/>
      <c r="L690" s="2"/>
      <c r="M690" s="2"/>
      <c r="N690" s="2"/>
      <c r="O690" s="2"/>
      <c r="P690" s="2" t="s">
        <v>31</v>
      </c>
      <c r="Q690" s="4">
        <v>45982</v>
      </c>
      <c r="R690" s="2" t="s">
        <v>2772</v>
      </c>
      <c r="S690" s="2">
        <v>2</v>
      </c>
      <c r="T690" s="2" t="s">
        <v>1981</v>
      </c>
      <c r="U690" s="2" t="s">
        <v>34</v>
      </c>
    </row>
    <row r="691" spans="1:21" ht="90" x14ac:dyDescent="0.25">
      <c r="A691" s="2">
        <v>70</v>
      </c>
      <c r="B691" s="2" t="s">
        <v>2725</v>
      </c>
      <c r="C691" s="2" t="s">
        <v>119</v>
      </c>
      <c r="D691" s="2" t="s">
        <v>147</v>
      </c>
      <c r="E691" s="2" t="s">
        <v>148</v>
      </c>
      <c r="F691" s="2" t="s">
        <v>49</v>
      </c>
      <c r="G691" s="2">
        <f>91-33-24838086</f>
        <v>-24838028</v>
      </c>
      <c r="H691" s="3" t="s">
        <v>2726</v>
      </c>
      <c r="I691" s="3" t="s">
        <v>2727</v>
      </c>
      <c r="J691" s="2" t="s">
        <v>2728</v>
      </c>
      <c r="K691" s="2"/>
      <c r="L691" s="2"/>
      <c r="M691" s="2"/>
      <c r="N691" s="2"/>
      <c r="O691" s="2"/>
      <c r="P691" s="2" t="s">
        <v>31</v>
      </c>
      <c r="Q691" s="4">
        <v>45982</v>
      </c>
      <c r="R691" s="2" t="s">
        <v>2773</v>
      </c>
      <c r="S691" s="2">
        <v>2</v>
      </c>
      <c r="T691" s="2" t="s">
        <v>1981</v>
      </c>
      <c r="U691" s="2" t="s">
        <v>34</v>
      </c>
    </row>
    <row r="692" spans="1:21" ht="105" x14ac:dyDescent="0.25">
      <c r="A692" s="2">
        <v>70</v>
      </c>
      <c r="B692" s="2" t="s">
        <v>2774</v>
      </c>
      <c r="C692" s="2" t="s">
        <v>426</v>
      </c>
      <c r="D692" s="2" t="s">
        <v>57</v>
      </c>
      <c r="E692" s="2" t="s">
        <v>2763</v>
      </c>
      <c r="F692" s="2" t="s">
        <v>2621</v>
      </c>
      <c r="G692" s="2">
        <f>91-5612-241234</f>
        <v>-246755</v>
      </c>
      <c r="H692" s="2"/>
      <c r="I692" s="2"/>
      <c r="J692" s="2" t="s">
        <v>2763</v>
      </c>
      <c r="K692" s="2"/>
      <c r="L692" s="2"/>
      <c r="M692" s="2"/>
      <c r="N692" s="2"/>
      <c r="O692" s="2"/>
      <c r="P692" s="2" t="s">
        <v>31</v>
      </c>
      <c r="Q692" s="4">
        <v>45982</v>
      </c>
      <c r="R692" s="2" t="s">
        <v>2775</v>
      </c>
      <c r="S692" s="2">
        <v>2</v>
      </c>
      <c r="T692" s="2" t="s">
        <v>1981</v>
      </c>
      <c r="U692" s="2" t="s">
        <v>34</v>
      </c>
    </row>
    <row r="693" spans="1:21" ht="120" x14ac:dyDescent="0.25">
      <c r="A693" s="2">
        <v>70</v>
      </c>
      <c r="B693" s="2" t="s">
        <v>2776</v>
      </c>
      <c r="C693" s="2" t="s">
        <v>56</v>
      </c>
      <c r="D693" s="2" t="s">
        <v>36</v>
      </c>
      <c r="E693" s="2" t="s">
        <v>2777</v>
      </c>
      <c r="F693" s="2" t="s">
        <v>59</v>
      </c>
      <c r="G693" s="2">
        <f>91-22-67406300</f>
        <v>-67406231</v>
      </c>
      <c r="H693" s="3" t="s">
        <v>2778</v>
      </c>
      <c r="I693" s="3" t="s">
        <v>2779</v>
      </c>
      <c r="J693" s="2" t="s">
        <v>2780</v>
      </c>
      <c r="K693" s="2"/>
      <c r="L693" s="2"/>
      <c r="M693" s="2"/>
      <c r="N693" s="2"/>
      <c r="O693" s="2"/>
      <c r="P693" s="2" t="s">
        <v>31</v>
      </c>
      <c r="Q693" s="4">
        <v>45982</v>
      </c>
      <c r="R693" s="2" t="s">
        <v>2781</v>
      </c>
      <c r="S693" s="2">
        <v>2</v>
      </c>
      <c r="T693" s="2" t="s">
        <v>1981</v>
      </c>
      <c r="U693" s="2" t="s">
        <v>34</v>
      </c>
    </row>
    <row r="694" spans="1:21" ht="90" x14ac:dyDescent="0.25">
      <c r="A694" s="2">
        <v>70</v>
      </c>
      <c r="B694" s="2" t="s">
        <v>2782</v>
      </c>
      <c r="C694" s="2" t="s">
        <v>56</v>
      </c>
      <c r="D694" s="2" t="s">
        <v>147</v>
      </c>
      <c r="E694" s="2" t="s">
        <v>148</v>
      </c>
      <c r="F694" s="2" t="s">
        <v>59</v>
      </c>
      <c r="G694" s="2">
        <f>91-33-22850501</f>
        <v>-22850443</v>
      </c>
      <c r="H694" s="3" t="s">
        <v>2783</v>
      </c>
      <c r="I694" s="3" t="s">
        <v>2784</v>
      </c>
      <c r="J694" s="2" t="s">
        <v>2785</v>
      </c>
      <c r="K694" s="2"/>
      <c r="L694" s="2"/>
      <c r="M694" s="2"/>
      <c r="N694" s="2"/>
      <c r="O694" s="2"/>
      <c r="P694" s="2" t="s">
        <v>31</v>
      </c>
      <c r="Q694" s="4">
        <v>45982</v>
      </c>
      <c r="R694" s="2" t="s">
        <v>2786</v>
      </c>
      <c r="S694" s="2">
        <v>2</v>
      </c>
      <c r="T694" s="2" t="s">
        <v>1981</v>
      </c>
      <c r="U694" s="2" t="s">
        <v>34</v>
      </c>
    </row>
    <row r="695" spans="1:21" ht="75" x14ac:dyDescent="0.25">
      <c r="A695" s="2">
        <v>70</v>
      </c>
      <c r="B695" s="2" t="s">
        <v>2787</v>
      </c>
      <c r="C695" s="2" t="s">
        <v>56</v>
      </c>
      <c r="D695" s="2" t="s">
        <v>321</v>
      </c>
      <c r="E695" s="2" t="s">
        <v>583</v>
      </c>
      <c r="F695" s="2" t="s">
        <v>59</v>
      </c>
      <c r="G695" s="2">
        <f>91-124-4062211</f>
        <v>-4062244</v>
      </c>
      <c r="H695" s="3" t="s">
        <v>2788</v>
      </c>
      <c r="I695" s="3" t="s">
        <v>2789</v>
      </c>
      <c r="J695" s="2" t="s">
        <v>2790</v>
      </c>
      <c r="K695" s="2"/>
      <c r="L695" s="2"/>
      <c r="M695" s="2"/>
      <c r="N695" s="2"/>
      <c r="O695" s="2"/>
      <c r="P695" s="2" t="s">
        <v>31</v>
      </c>
      <c r="Q695" s="4">
        <v>45982</v>
      </c>
      <c r="R695" s="2" t="s">
        <v>2791</v>
      </c>
      <c r="S695" s="2">
        <v>2</v>
      </c>
      <c r="T695" s="2" t="s">
        <v>1981</v>
      </c>
      <c r="U695" s="2" t="s">
        <v>34</v>
      </c>
    </row>
    <row r="696" spans="1:21" ht="75" x14ac:dyDescent="0.25">
      <c r="A696" s="2">
        <v>70</v>
      </c>
      <c r="B696" s="2" t="s">
        <v>2792</v>
      </c>
      <c r="C696" s="2" t="s">
        <v>56</v>
      </c>
      <c r="D696" s="2" t="s">
        <v>102</v>
      </c>
      <c r="E696" s="2" t="s">
        <v>2793</v>
      </c>
      <c r="F696" s="2" t="s">
        <v>59</v>
      </c>
      <c r="G696" s="2">
        <f>91-44-45934000</f>
        <v>-45933953</v>
      </c>
      <c r="H696" s="2"/>
      <c r="I696" s="2"/>
      <c r="J696" s="2" t="s">
        <v>2794</v>
      </c>
      <c r="K696" s="2"/>
      <c r="L696" s="2"/>
      <c r="M696" s="2"/>
      <c r="N696" s="2"/>
      <c r="O696" s="2"/>
      <c r="P696" s="2" t="s">
        <v>31</v>
      </c>
      <c r="Q696" s="4">
        <v>45982</v>
      </c>
      <c r="R696" s="2" t="s">
        <v>2795</v>
      </c>
      <c r="S696" s="2">
        <v>2</v>
      </c>
      <c r="T696" s="2" t="s">
        <v>1981</v>
      </c>
      <c r="U696" s="2" t="s">
        <v>34</v>
      </c>
    </row>
    <row r="697" spans="1:21" ht="60" x14ac:dyDescent="0.25">
      <c r="A697" s="2">
        <v>70</v>
      </c>
      <c r="B697" s="2" t="s">
        <v>2796</v>
      </c>
      <c r="C697" s="2" t="s">
        <v>56</v>
      </c>
      <c r="D697" s="2" t="s">
        <v>57</v>
      </c>
      <c r="E697" s="2" t="s">
        <v>2797</v>
      </c>
      <c r="F697" s="2" t="s">
        <v>59</v>
      </c>
      <c r="G697" s="2">
        <f>91-532-2401234</f>
        <v>-2401675</v>
      </c>
      <c r="H697" s="2"/>
      <c r="I697" s="2"/>
      <c r="J697" s="2" t="s">
        <v>2798</v>
      </c>
      <c r="K697" s="2"/>
      <c r="L697" s="2"/>
      <c r="M697" s="2"/>
      <c r="N697" s="2"/>
      <c r="O697" s="2"/>
      <c r="P697" s="2" t="s">
        <v>31</v>
      </c>
      <c r="Q697" s="4">
        <v>45982</v>
      </c>
      <c r="R697" s="2" t="s">
        <v>2799</v>
      </c>
      <c r="S697" s="2">
        <v>2</v>
      </c>
      <c r="T697" s="2" t="s">
        <v>1981</v>
      </c>
      <c r="U697" s="2" t="s">
        <v>34</v>
      </c>
    </row>
    <row r="698" spans="1:21" ht="90" x14ac:dyDescent="0.25">
      <c r="A698" s="2">
        <v>70</v>
      </c>
      <c r="B698" s="2" t="s">
        <v>2800</v>
      </c>
      <c r="C698" s="2" t="s">
        <v>623</v>
      </c>
      <c r="D698" s="2" t="s">
        <v>57</v>
      </c>
      <c r="E698" s="2" t="s">
        <v>2763</v>
      </c>
      <c r="F698" s="2" t="s">
        <v>476</v>
      </c>
      <c r="G698" s="2">
        <f>91-5612-242345</f>
        <v>-247866</v>
      </c>
      <c r="H698" s="2"/>
      <c r="I698" s="2"/>
      <c r="J698" s="2" t="s">
        <v>2763</v>
      </c>
      <c r="K698" s="2"/>
      <c r="L698" s="2"/>
      <c r="M698" s="2"/>
      <c r="N698" s="2"/>
      <c r="O698" s="2"/>
      <c r="P698" s="2" t="s">
        <v>31</v>
      </c>
      <c r="Q698" s="4">
        <v>45982</v>
      </c>
      <c r="R698" s="2" t="s">
        <v>2801</v>
      </c>
      <c r="S698" s="2">
        <v>2</v>
      </c>
      <c r="T698" s="2" t="s">
        <v>1981</v>
      </c>
      <c r="U698" s="2" t="s">
        <v>34</v>
      </c>
    </row>
    <row r="699" spans="1:21" ht="90" x14ac:dyDescent="0.25">
      <c r="A699" s="2">
        <v>70</v>
      </c>
      <c r="B699" s="2" t="s">
        <v>2802</v>
      </c>
      <c r="C699" s="2" t="s">
        <v>623</v>
      </c>
      <c r="D699" s="2" t="s">
        <v>57</v>
      </c>
      <c r="E699" s="2" t="s">
        <v>2763</v>
      </c>
      <c r="F699" s="2" t="s">
        <v>476</v>
      </c>
      <c r="G699" s="2">
        <f>91-5612-243456</f>
        <v>-248977</v>
      </c>
      <c r="H699" s="2"/>
      <c r="I699" s="2"/>
      <c r="J699" s="2" t="s">
        <v>2763</v>
      </c>
      <c r="K699" s="2"/>
      <c r="L699" s="2"/>
      <c r="M699" s="2"/>
      <c r="N699" s="2"/>
      <c r="O699" s="2"/>
      <c r="P699" s="2" t="s">
        <v>31</v>
      </c>
      <c r="Q699" s="4">
        <v>45982</v>
      </c>
      <c r="R699" s="2" t="s">
        <v>2803</v>
      </c>
      <c r="S699" s="2">
        <v>2</v>
      </c>
      <c r="T699" s="2" t="s">
        <v>1981</v>
      </c>
      <c r="U699" s="2" t="s">
        <v>34</v>
      </c>
    </row>
    <row r="700" spans="1:21" ht="45" x14ac:dyDescent="0.25">
      <c r="A700" s="1" t="s">
        <v>0</v>
      </c>
      <c r="B700" s="1" t="s">
        <v>1</v>
      </c>
      <c r="C700" s="1" t="s">
        <v>2</v>
      </c>
      <c r="D700" s="1" t="s">
        <v>3</v>
      </c>
      <c r="E700" s="1" t="s">
        <v>4</v>
      </c>
      <c r="F700" s="1" t="s">
        <v>5</v>
      </c>
      <c r="G700" s="1" t="s">
        <v>6</v>
      </c>
      <c r="H700" s="1" t="s">
        <v>7</v>
      </c>
      <c r="I700" s="1" t="s">
        <v>8</v>
      </c>
      <c r="J700" s="1" t="s">
        <v>9</v>
      </c>
      <c r="K700" s="1" t="s">
        <v>10</v>
      </c>
      <c r="L700" s="1" t="s">
        <v>11</v>
      </c>
      <c r="M700" s="1" t="s">
        <v>12</v>
      </c>
      <c r="N700" s="1" t="s">
        <v>13</v>
      </c>
      <c r="O700" s="1" t="s">
        <v>14</v>
      </c>
      <c r="P700" s="1" t="s">
        <v>15</v>
      </c>
      <c r="Q700" s="1" t="s">
        <v>16</v>
      </c>
      <c r="R700" s="1" t="s">
        <v>17</v>
      </c>
      <c r="S700" s="1" t="s">
        <v>18</v>
      </c>
      <c r="T700" s="1" t="s">
        <v>19</v>
      </c>
      <c r="U700" s="1" t="s">
        <v>20</v>
      </c>
    </row>
    <row r="701" spans="1:21" ht="150" x14ac:dyDescent="0.25">
      <c r="A701" s="2">
        <v>71</v>
      </c>
      <c r="B701" s="2" t="s">
        <v>2804</v>
      </c>
      <c r="C701" s="2" t="s">
        <v>22</v>
      </c>
      <c r="D701" s="2" t="s">
        <v>36</v>
      </c>
      <c r="E701" s="2" t="s">
        <v>37</v>
      </c>
      <c r="F701" s="2" t="s">
        <v>25</v>
      </c>
      <c r="G701" s="2">
        <f>91-22-26544600</f>
        <v>-26544531</v>
      </c>
      <c r="H701" s="3" t="s">
        <v>2805</v>
      </c>
      <c r="I701" s="3" t="s">
        <v>2806</v>
      </c>
      <c r="J701" s="2" t="s">
        <v>2807</v>
      </c>
      <c r="K701" s="2"/>
      <c r="L701" s="2"/>
      <c r="M701" s="2" t="s">
        <v>2808</v>
      </c>
      <c r="N701" s="2"/>
      <c r="O701" s="2"/>
      <c r="P701" s="2" t="s">
        <v>31</v>
      </c>
      <c r="Q701" s="4">
        <v>45982</v>
      </c>
      <c r="R701" s="2" t="s">
        <v>2809</v>
      </c>
      <c r="S701" s="2">
        <v>2</v>
      </c>
      <c r="T701" s="2" t="s">
        <v>2020</v>
      </c>
      <c r="U701" s="2" t="s">
        <v>34</v>
      </c>
    </row>
    <row r="702" spans="1:21" ht="105" x14ac:dyDescent="0.25">
      <c r="A702" s="2">
        <v>71</v>
      </c>
      <c r="B702" s="2" t="s">
        <v>2810</v>
      </c>
      <c r="C702" s="2" t="s">
        <v>22</v>
      </c>
      <c r="D702" s="2" t="s">
        <v>153</v>
      </c>
      <c r="E702" s="2" t="s">
        <v>2061</v>
      </c>
      <c r="F702" s="2" t="s">
        <v>2811</v>
      </c>
      <c r="G702" s="2">
        <f>91-261-2322222</f>
        <v>-2322392</v>
      </c>
      <c r="H702" s="3" t="s">
        <v>2812</v>
      </c>
      <c r="I702" s="3" t="s">
        <v>2806</v>
      </c>
      <c r="J702" s="2" t="s">
        <v>2813</v>
      </c>
      <c r="K702" s="2"/>
      <c r="L702" s="2"/>
      <c r="M702" s="2"/>
      <c r="N702" s="2"/>
      <c r="O702" s="2"/>
      <c r="P702" s="2" t="s">
        <v>31</v>
      </c>
      <c r="Q702" s="4">
        <v>45982</v>
      </c>
      <c r="R702" s="2" t="s">
        <v>2814</v>
      </c>
      <c r="S702" s="2">
        <v>2</v>
      </c>
      <c r="T702" s="2" t="s">
        <v>2020</v>
      </c>
      <c r="U702" s="2" t="s">
        <v>34</v>
      </c>
    </row>
    <row r="703" spans="1:21" ht="120" x14ac:dyDescent="0.25">
      <c r="A703" s="2">
        <v>71</v>
      </c>
      <c r="B703" s="2" t="s">
        <v>2815</v>
      </c>
      <c r="C703" s="2" t="s">
        <v>22</v>
      </c>
      <c r="D703" s="2" t="s">
        <v>970</v>
      </c>
      <c r="E703" s="2" t="s">
        <v>1995</v>
      </c>
      <c r="F703" s="2" t="s">
        <v>2811</v>
      </c>
      <c r="G703" s="2">
        <f>91-141-2573895</f>
        <v>-2573945</v>
      </c>
      <c r="H703" s="3" t="s">
        <v>2816</v>
      </c>
      <c r="I703" s="3" t="s">
        <v>2806</v>
      </c>
      <c r="J703" s="2" t="s">
        <v>2817</v>
      </c>
      <c r="K703" s="2"/>
      <c r="L703" s="2"/>
      <c r="M703" s="2"/>
      <c r="N703" s="2"/>
      <c r="O703" s="2"/>
      <c r="P703" s="2" t="s">
        <v>31</v>
      </c>
      <c r="Q703" s="4">
        <v>45982</v>
      </c>
      <c r="R703" s="2" t="s">
        <v>2818</v>
      </c>
      <c r="S703" s="2">
        <v>2</v>
      </c>
      <c r="T703" s="2" t="s">
        <v>2020</v>
      </c>
      <c r="U703" s="2" t="s">
        <v>34</v>
      </c>
    </row>
    <row r="704" spans="1:21" ht="120" x14ac:dyDescent="0.25">
      <c r="A704" s="2">
        <v>71</v>
      </c>
      <c r="B704" s="2" t="s">
        <v>2819</v>
      </c>
      <c r="C704" s="2" t="s">
        <v>119</v>
      </c>
      <c r="D704" s="2" t="s">
        <v>36</v>
      </c>
      <c r="E704" s="2" t="s">
        <v>37</v>
      </c>
      <c r="F704" s="2" t="s">
        <v>49</v>
      </c>
      <c r="G704" s="2">
        <f>91-22-28290303</f>
        <v>-28290234</v>
      </c>
      <c r="H704" s="3" t="s">
        <v>2820</v>
      </c>
      <c r="I704" s="3" t="s">
        <v>2821</v>
      </c>
      <c r="J704" s="2" t="s">
        <v>2822</v>
      </c>
      <c r="K704" s="2"/>
      <c r="L704" s="2"/>
      <c r="M704" s="2"/>
      <c r="N704" s="2"/>
      <c r="O704" s="2"/>
      <c r="P704" s="2" t="s">
        <v>31</v>
      </c>
      <c r="Q704" s="4">
        <v>45982</v>
      </c>
      <c r="R704" s="2" t="s">
        <v>2823</v>
      </c>
      <c r="S704" s="2">
        <v>2</v>
      </c>
      <c r="T704" s="2" t="s">
        <v>2020</v>
      </c>
      <c r="U704" s="2" t="s">
        <v>34</v>
      </c>
    </row>
    <row r="705" spans="1:21" ht="120" x14ac:dyDescent="0.25">
      <c r="A705" s="2">
        <v>71</v>
      </c>
      <c r="B705" s="2" t="s">
        <v>2824</v>
      </c>
      <c r="C705" s="2" t="s">
        <v>119</v>
      </c>
      <c r="D705" s="2" t="s">
        <v>970</v>
      </c>
      <c r="E705" s="2" t="s">
        <v>1995</v>
      </c>
      <c r="F705" s="2" t="s">
        <v>49</v>
      </c>
      <c r="G705" s="2">
        <f>91-141-2573865</f>
        <v>-2573915</v>
      </c>
      <c r="H705" s="3" t="s">
        <v>2825</v>
      </c>
      <c r="I705" s="2"/>
      <c r="J705" s="2" t="s">
        <v>1995</v>
      </c>
      <c r="K705" s="2"/>
      <c r="L705" s="2"/>
      <c r="M705" s="2"/>
      <c r="N705" s="2"/>
      <c r="O705" s="2"/>
      <c r="P705" s="2" t="s">
        <v>31</v>
      </c>
      <c r="Q705" s="4">
        <v>45982</v>
      </c>
      <c r="R705" s="2" t="s">
        <v>2826</v>
      </c>
      <c r="S705" s="2">
        <v>2</v>
      </c>
      <c r="T705" s="2" t="s">
        <v>2020</v>
      </c>
      <c r="U705" s="2" t="s">
        <v>34</v>
      </c>
    </row>
    <row r="706" spans="1:21" ht="105" x14ac:dyDescent="0.25">
      <c r="A706" s="2">
        <v>71</v>
      </c>
      <c r="B706" s="2" t="s">
        <v>2827</v>
      </c>
      <c r="C706" s="2" t="s">
        <v>22</v>
      </c>
      <c r="D706" s="2" t="s">
        <v>36</v>
      </c>
      <c r="E706" s="2" t="s">
        <v>37</v>
      </c>
      <c r="F706" s="2" t="s">
        <v>25</v>
      </c>
      <c r="G706" s="2">
        <f>91-22-28291200</f>
        <v>-28291131</v>
      </c>
      <c r="H706" s="3" t="s">
        <v>2828</v>
      </c>
      <c r="I706" s="3" t="s">
        <v>2829</v>
      </c>
      <c r="J706" s="2" t="s">
        <v>2830</v>
      </c>
      <c r="K706" s="2"/>
      <c r="L706" s="2"/>
      <c r="M706" s="2"/>
      <c r="N706" s="2"/>
      <c r="O706" s="2"/>
      <c r="P706" s="2" t="s">
        <v>31</v>
      </c>
      <c r="Q706" s="4">
        <v>45982</v>
      </c>
      <c r="R706" s="2" t="s">
        <v>2831</v>
      </c>
      <c r="S706" s="2">
        <v>2</v>
      </c>
      <c r="T706" s="2" t="s">
        <v>2020</v>
      </c>
      <c r="U706" s="2" t="s">
        <v>34</v>
      </c>
    </row>
    <row r="707" spans="1:21" ht="60" x14ac:dyDescent="0.25">
      <c r="A707" s="2">
        <v>71</v>
      </c>
      <c r="B707" s="2" t="s">
        <v>2832</v>
      </c>
      <c r="C707" s="2" t="s">
        <v>22</v>
      </c>
      <c r="D707" s="2" t="s">
        <v>153</v>
      </c>
      <c r="E707" s="2" t="s">
        <v>2061</v>
      </c>
      <c r="F707" s="2" t="s">
        <v>476</v>
      </c>
      <c r="G707" s="2">
        <f>91-261-2322222</f>
        <v>-2322392</v>
      </c>
      <c r="H707" s="2"/>
      <c r="I707" s="2"/>
      <c r="J707" s="2" t="s">
        <v>2061</v>
      </c>
      <c r="K707" s="2"/>
      <c r="L707" s="2"/>
      <c r="M707" s="2"/>
      <c r="N707" s="2"/>
      <c r="O707" s="2"/>
      <c r="P707" s="2" t="s">
        <v>31</v>
      </c>
      <c r="Q707" s="4">
        <v>45982</v>
      </c>
      <c r="R707" s="2" t="s">
        <v>2833</v>
      </c>
      <c r="S707" s="2">
        <v>2</v>
      </c>
      <c r="T707" s="2" t="s">
        <v>2020</v>
      </c>
      <c r="U707" s="2" t="s">
        <v>34</v>
      </c>
    </row>
    <row r="708" spans="1:21" ht="135" x14ac:dyDescent="0.25">
      <c r="A708" s="2">
        <v>71</v>
      </c>
      <c r="B708" s="2" t="s">
        <v>2834</v>
      </c>
      <c r="C708" s="2" t="s">
        <v>623</v>
      </c>
      <c r="D708" s="2" t="s">
        <v>970</v>
      </c>
      <c r="E708" s="2" t="s">
        <v>1995</v>
      </c>
      <c r="F708" s="2" t="s">
        <v>476</v>
      </c>
      <c r="G708" s="2">
        <f>91-141-2573895</f>
        <v>-2573945</v>
      </c>
      <c r="H708" s="2"/>
      <c r="I708" s="2"/>
      <c r="J708" s="2" t="s">
        <v>1995</v>
      </c>
      <c r="K708" s="2"/>
      <c r="L708" s="2"/>
      <c r="M708" s="2"/>
      <c r="N708" s="2"/>
      <c r="O708" s="2"/>
      <c r="P708" s="2" t="s">
        <v>31</v>
      </c>
      <c r="Q708" s="4">
        <v>45982</v>
      </c>
      <c r="R708" s="2" t="s">
        <v>2835</v>
      </c>
      <c r="S708" s="2">
        <v>2</v>
      </c>
      <c r="T708" s="2" t="s">
        <v>2020</v>
      </c>
      <c r="U708" s="2" t="s">
        <v>34</v>
      </c>
    </row>
    <row r="709" spans="1:21" ht="75" x14ac:dyDescent="0.25">
      <c r="A709" s="2">
        <v>71</v>
      </c>
      <c r="B709" s="2" t="s">
        <v>2836</v>
      </c>
      <c r="C709" s="2" t="s">
        <v>56</v>
      </c>
      <c r="D709" s="2" t="s">
        <v>153</v>
      </c>
      <c r="E709" s="2" t="s">
        <v>2061</v>
      </c>
      <c r="F709" s="2" t="s">
        <v>59</v>
      </c>
      <c r="G709" s="2">
        <f>91-261-2359999</f>
        <v>-2360169</v>
      </c>
      <c r="H709" s="3" t="s">
        <v>2837</v>
      </c>
      <c r="I709" s="3" t="s">
        <v>2838</v>
      </c>
      <c r="J709" s="2" t="s">
        <v>2061</v>
      </c>
      <c r="K709" s="2"/>
      <c r="L709" s="2"/>
      <c r="M709" s="2"/>
      <c r="N709" s="2"/>
      <c r="O709" s="2"/>
      <c r="P709" s="2" t="s">
        <v>31</v>
      </c>
      <c r="Q709" s="4">
        <v>45982</v>
      </c>
      <c r="R709" s="2" t="s">
        <v>2839</v>
      </c>
      <c r="S709" s="2">
        <v>2</v>
      </c>
      <c r="T709" s="2" t="s">
        <v>2020</v>
      </c>
      <c r="U709" s="2" t="s">
        <v>34</v>
      </c>
    </row>
    <row r="710" spans="1:21" ht="60" x14ac:dyDescent="0.25">
      <c r="A710" s="2">
        <v>71</v>
      </c>
      <c r="B710" s="2" t="s">
        <v>2840</v>
      </c>
      <c r="C710" s="2" t="s">
        <v>56</v>
      </c>
      <c r="D710" s="2" t="s">
        <v>153</v>
      </c>
      <c r="E710" s="2" t="s">
        <v>2061</v>
      </c>
      <c r="F710" s="2" t="s">
        <v>59</v>
      </c>
      <c r="G710" s="2">
        <f>91-261-2359999</f>
        <v>-2360169</v>
      </c>
      <c r="H710" s="2"/>
      <c r="I710" s="2"/>
      <c r="J710" s="2" t="s">
        <v>2061</v>
      </c>
      <c r="K710" s="2"/>
      <c r="L710" s="2"/>
      <c r="M710" s="2"/>
      <c r="N710" s="2"/>
      <c r="O710" s="2"/>
      <c r="P710" s="2" t="s">
        <v>31</v>
      </c>
      <c r="Q710" s="4">
        <v>45982</v>
      </c>
      <c r="R710" s="2" t="s">
        <v>2841</v>
      </c>
      <c r="S710" s="2">
        <v>2</v>
      </c>
      <c r="T710" s="2" t="s">
        <v>2020</v>
      </c>
      <c r="U710" s="2" t="s">
        <v>34</v>
      </c>
    </row>
    <row r="711" spans="1:21" ht="120" x14ac:dyDescent="0.25">
      <c r="A711" s="2">
        <v>71</v>
      </c>
      <c r="B711" s="2" t="s">
        <v>2842</v>
      </c>
      <c r="C711" s="2" t="s">
        <v>56</v>
      </c>
      <c r="D711" s="2" t="s">
        <v>298</v>
      </c>
      <c r="E711" s="2" t="s">
        <v>578</v>
      </c>
      <c r="F711" s="2" t="s">
        <v>59</v>
      </c>
      <c r="G711" s="2">
        <f>91-80-40239999</f>
        <v>-40239988</v>
      </c>
      <c r="H711" s="3" t="s">
        <v>2843</v>
      </c>
      <c r="I711" s="3" t="s">
        <v>2844</v>
      </c>
      <c r="J711" s="2" t="s">
        <v>299</v>
      </c>
      <c r="K711" s="2"/>
      <c r="L711" s="2"/>
      <c r="M711" s="2"/>
      <c r="N711" s="2"/>
      <c r="O711" s="2"/>
      <c r="P711" s="2" t="s">
        <v>31</v>
      </c>
      <c r="Q711" s="4">
        <v>45982</v>
      </c>
      <c r="R711" s="2" t="s">
        <v>2845</v>
      </c>
      <c r="S711" s="2">
        <v>2</v>
      </c>
      <c r="T711" s="2" t="s">
        <v>2020</v>
      </c>
      <c r="U711" s="2" t="s">
        <v>34</v>
      </c>
    </row>
    <row r="712" spans="1:21" ht="90" x14ac:dyDescent="0.25">
      <c r="A712" s="2">
        <v>71</v>
      </c>
      <c r="B712" s="2" t="s">
        <v>2846</v>
      </c>
      <c r="C712" s="2" t="s">
        <v>56</v>
      </c>
      <c r="D712" s="2" t="s">
        <v>126</v>
      </c>
      <c r="E712" s="2" t="s">
        <v>742</v>
      </c>
      <c r="F712" s="2" t="s">
        <v>59</v>
      </c>
      <c r="G712" s="2">
        <f>91-495-2721500</f>
        <v>-2721904</v>
      </c>
      <c r="H712" s="3" t="s">
        <v>2847</v>
      </c>
      <c r="I712" s="3" t="s">
        <v>2848</v>
      </c>
      <c r="J712" s="2" t="s">
        <v>2849</v>
      </c>
      <c r="K712" s="2"/>
      <c r="L712" s="2"/>
      <c r="M712" s="2"/>
      <c r="N712" s="2"/>
      <c r="O712" s="2"/>
      <c r="P712" s="2" t="s">
        <v>31</v>
      </c>
      <c r="Q712" s="4">
        <v>45982</v>
      </c>
      <c r="R712" s="2" t="s">
        <v>2850</v>
      </c>
      <c r="S712" s="2">
        <v>2</v>
      </c>
      <c r="T712" s="2" t="s">
        <v>2020</v>
      </c>
      <c r="U712" s="2" t="s">
        <v>34</v>
      </c>
    </row>
    <row r="713" spans="1:21" ht="75" x14ac:dyDescent="0.25">
      <c r="A713" s="2">
        <v>71</v>
      </c>
      <c r="B713" s="2" t="s">
        <v>2851</v>
      </c>
      <c r="C713" s="2" t="s">
        <v>56</v>
      </c>
      <c r="D713" s="2" t="s">
        <v>23</v>
      </c>
      <c r="E713" s="2" t="s">
        <v>24</v>
      </c>
      <c r="F713" s="2" t="s">
        <v>59</v>
      </c>
      <c r="G713" s="2">
        <f>91-11-47104800</f>
        <v>-47104720</v>
      </c>
      <c r="H713" s="2"/>
      <c r="I713" s="2"/>
      <c r="J713" s="2" t="s">
        <v>2852</v>
      </c>
      <c r="K713" s="2"/>
      <c r="L713" s="2"/>
      <c r="M713" s="2"/>
      <c r="N713" s="2"/>
      <c r="O713" s="2"/>
      <c r="P713" s="2" t="s">
        <v>31</v>
      </c>
      <c r="Q713" s="4">
        <v>45982</v>
      </c>
      <c r="R713" s="2" t="s">
        <v>2853</v>
      </c>
      <c r="S713" s="2">
        <v>2</v>
      </c>
      <c r="T713" s="2" t="s">
        <v>2020</v>
      </c>
      <c r="U713" s="2" t="s">
        <v>34</v>
      </c>
    </row>
    <row r="714" spans="1:21" ht="105" x14ac:dyDescent="0.25">
      <c r="A714" s="2">
        <v>71</v>
      </c>
      <c r="B714" s="2" t="s">
        <v>2854</v>
      </c>
      <c r="C714" s="2" t="s">
        <v>56</v>
      </c>
      <c r="D714" s="2" t="s">
        <v>970</v>
      </c>
      <c r="E714" s="2" t="s">
        <v>1995</v>
      </c>
      <c r="F714" s="2" t="s">
        <v>49</v>
      </c>
      <c r="G714" s="2">
        <f>91-141-2573895</f>
        <v>-2573945</v>
      </c>
      <c r="H714" s="2"/>
      <c r="I714" s="2"/>
      <c r="J714" s="2" t="s">
        <v>1995</v>
      </c>
      <c r="K714" s="2"/>
      <c r="L714" s="2"/>
      <c r="M714" s="2"/>
      <c r="N714" s="2"/>
      <c r="O714" s="2"/>
      <c r="P714" s="2" t="s">
        <v>31</v>
      </c>
      <c r="Q714" s="4">
        <v>45982</v>
      </c>
      <c r="R714" s="2" t="s">
        <v>2855</v>
      </c>
      <c r="S714" s="2">
        <v>2</v>
      </c>
      <c r="T714" s="2" t="s">
        <v>2020</v>
      </c>
      <c r="U714" s="2" t="s">
        <v>34</v>
      </c>
    </row>
    <row r="715" spans="1:21" ht="45" x14ac:dyDescent="0.25">
      <c r="A715" s="1" t="s">
        <v>0</v>
      </c>
      <c r="B715" s="1" t="s">
        <v>1</v>
      </c>
      <c r="C715" s="1" t="s">
        <v>2</v>
      </c>
      <c r="D715" s="1" t="s">
        <v>3</v>
      </c>
      <c r="E715" s="1" t="s">
        <v>4</v>
      </c>
      <c r="F715" s="1" t="s">
        <v>5</v>
      </c>
      <c r="G715" s="1" t="s">
        <v>6</v>
      </c>
      <c r="H715" s="1" t="s">
        <v>7</v>
      </c>
      <c r="I715" s="1" t="s">
        <v>8</v>
      </c>
      <c r="J715" s="1" t="s">
        <v>9</v>
      </c>
      <c r="K715" s="1" t="s">
        <v>10</v>
      </c>
      <c r="L715" s="1" t="s">
        <v>11</v>
      </c>
      <c r="M715" s="1" t="s">
        <v>12</v>
      </c>
      <c r="N715" s="1" t="s">
        <v>13</v>
      </c>
      <c r="O715" s="1" t="s">
        <v>14</v>
      </c>
      <c r="P715" s="1" t="s">
        <v>15</v>
      </c>
      <c r="Q715" s="1" t="s">
        <v>16</v>
      </c>
      <c r="R715" s="1" t="s">
        <v>17</v>
      </c>
      <c r="S715" s="1" t="s">
        <v>18</v>
      </c>
      <c r="T715" s="1" t="s">
        <v>19</v>
      </c>
      <c r="U715" s="1" t="s">
        <v>20</v>
      </c>
    </row>
    <row r="716" spans="1:21" ht="165" x14ac:dyDescent="0.25">
      <c r="A716" s="2">
        <v>82</v>
      </c>
      <c r="B716" s="2" t="s">
        <v>2856</v>
      </c>
      <c r="C716" s="2" t="s">
        <v>22</v>
      </c>
      <c r="D716" s="2" t="s">
        <v>23</v>
      </c>
      <c r="E716" s="2" t="s">
        <v>24</v>
      </c>
      <c r="F716" s="2" t="s">
        <v>897</v>
      </c>
      <c r="G716" s="2">
        <f>91-11-26135256</f>
        <v>-26135176</v>
      </c>
      <c r="H716" s="3" t="s">
        <v>1020</v>
      </c>
      <c r="I716" s="3" t="s">
        <v>1021</v>
      </c>
      <c r="J716" s="2" t="s">
        <v>1744</v>
      </c>
      <c r="K716" s="2"/>
      <c r="L716" s="2"/>
      <c r="M716" s="2" t="s">
        <v>2857</v>
      </c>
      <c r="N716" s="2"/>
      <c r="O716" s="2"/>
      <c r="P716" s="2" t="s">
        <v>31</v>
      </c>
      <c r="Q716" s="4">
        <v>45982</v>
      </c>
      <c r="R716" s="2"/>
      <c r="S716" s="2">
        <v>2</v>
      </c>
      <c r="T716" s="2" t="s">
        <v>2073</v>
      </c>
      <c r="U716" s="2" t="s">
        <v>34</v>
      </c>
    </row>
    <row r="717" spans="1:21" ht="135" x14ac:dyDescent="0.25">
      <c r="A717" s="2">
        <v>82</v>
      </c>
      <c r="B717" s="2" t="s">
        <v>2858</v>
      </c>
      <c r="C717" s="2" t="s">
        <v>22</v>
      </c>
      <c r="D717" s="2" t="s">
        <v>147</v>
      </c>
      <c r="E717" s="2" t="s">
        <v>148</v>
      </c>
      <c r="F717" s="2" t="s">
        <v>25</v>
      </c>
      <c r="G717" s="2">
        <f>91-33-22890651</f>
        <v>-22890593</v>
      </c>
      <c r="H717" s="3" t="s">
        <v>2859</v>
      </c>
      <c r="I717" s="3" t="s">
        <v>2860</v>
      </c>
      <c r="J717" s="2" t="s">
        <v>2861</v>
      </c>
      <c r="K717" s="2"/>
      <c r="L717" s="2"/>
      <c r="M717" s="2" t="s">
        <v>2862</v>
      </c>
      <c r="N717" s="2"/>
      <c r="O717" s="2"/>
      <c r="P717" s="2" t="s">
        <v>31</v>
      </c>
      <c r="Q717" s="4">
        <v>45982</v>
      </c>
      <c r="R717" s="2"/>
      <c r="S717" s="2">
        <v>2</v>
      </c>
      <c r="T717" s="2" t="s">
        <v>2073</v>
      </c>
      <c r="U717" s="2" t="s">
        <v>34</v>
      </c>
    </row>
    <row r="718" spans="1:21" ht="105" x14ac:dyDescent="0.25">
      <c r="A718" s="2">
        <v>82</v>
      </c>
      <c r="B718" s="2" t="s">
        <v>2863</v>
      </c>
      <c r="C718" s="2" t="s">
        <v>22</v>
      </c>
      <c r="D718" s="2" t="s">
        <v>841</v>
      </c>
      <c r="E718" s="2" t="s">
        <v>2164</v>
      </c>
      <c r="F718" s="2" t="s">
        <v>476</v>
      </c>
      <c r="G718" s="2">
        <f>91-181-2290547</f>
        <v>-2290637</v>
      </c>
      <c r="H718" s="3" t="s">
        <v>2864</v>
      </c>
      <c r="I718" s="2"/>
      <c r="J718" s="2" t="s">
        <v>2164</v>
      </c>
      <c r="K718" s="2"/>
      <c r="L718" s="2"/>
      <c r="M718" s="2"/>
      <c r="N718" s="2"/>
      <c r="O718" s="2"/>
      <c r="P718" s="2" t="s">
        <v>31</v>
      </c>
      <c r="Q718" s="4">
        <v>45982</v>
      </c>
      <c r="R718" s="2" t="s">
        <v>2865</v>
      </c>
      <c r="S718" s="2">
        <v>2</v>
      </c>
      <c r="T718" s="2" t="s">
        <v>2073</v>
      </c>
      <c r="U718" s="2" t="s">
        <v>34</v>
      </c>
    </row>
    <row r="719" spans="1:21" ht="60" x14ac:dyDescent="0.25">
      <c r="A719" s="2">
        <v>82</v>
      </c>
      <c r="B719" s="2" t="s">
        <v>2866</v>
      </c>
      <c r="C719" s="2" t="s">
        <v>426</v>
      </c>
      <c r="D719" s="2" t="s">
        <v>970</v>
      </c>
      <c r="E719" s="2" t="s">
        <v>2867</v>
      </c>
      <c r="F719" s="2" t="s">
        <v>2621</v>
      </c>
      <c r="G719" s="2">
        <f>91-1582-240123</f>
        <v>-241614</v>
      </c>
      <c r="H719" s="2"/>
      <c r="I719" s="2"/>
      <c r="J719" s="2" t="s">
        <v>2868</v>
      </c>
      <c r="K719" s="2"/>
      <c r="L719" s="2"/>
      <c r="M719" s="2"/>
      <c r="N719" s="2"/>
      <c r="O719" s="2"/>
      <c r="P719" s="2" t="s">
        <v>31</v>
      </c>
      <c r="Q719" s="4">
        <v>45982</v>
      </c>
      <c r="R719" s="2" t="s">
        <v>2869</v>
      </c>
      <c r="S719" s="2">
        <v>2</v>
      </c>
      <c r="T719" s="2" t="s">
        <v>2073</v>
      </c>
      <c r="U719" s="2" t="s">
        <v>34</v>
      </c>
    </row>
    <row r="720" spans="1:21" ht="75" x14ac:dyDescent="0.25">
      <c r="A720" s="2">
        <v>82</v>
      </c>
      <c r="B720" s="2" t="s">
        <v>2870</v>
      </c>
      <c r="C720" s="2" t="s">
        <v>426</v>
      </c>
      <c r="D720" s="2" t="s">
        <v>841</v>
      </c>
      <c r="E720" s="2" t="s">
        <v>2164</v>
      </c>
      <c r="F720" s="2" t="s">
        <v>476</v>
      </c>
      <c r="G720" s="2">
        <f>91-181-2290547</f>
        <v>-2290637</v>
      </c>
      <c r="H720" s="2"/>
      <c r="I720" s="2"/>
      <c r="J720" s="2" t="s">
        <v>2164</v>
      </c>
      <c r="K720" s="2"/>
      <c r="L720" s="2"/>
      <c r="M720" s="2"/>
      <c r="N720" s="2"/>
      <c r="O720" s="2"/>
      <c r="P720" s="2" t="s">
        <v>31</v>
      </c>
      <c r="Q720" s="4">
        <v>45982</v>
      </c>
      <c r="R720" s="2" t="s">
        <v>2871</v>
      </c>
      <c r="S720" s="2">
        <v>2</v>
      </c>
      <c r="T720" s="2" t="s">
        <v>2073</v>
      </c>
      <c r="U720" s="2" t="s">
        <v>34</v>
      </c>
    </row>
    <row r="721" spans="1:21" ht="120" x14ac:dyDescent="0.25">
      <c r="A721" s="2">
        <v>82</v>
      </c>
      <c r="B721" s="2" t="s">
        <v>2872</v>
      </c>
      <c r="C721" s="2" t="s">
        <v>119</v>
      </c>
      <c r="D721" s="2" t="s">
        <v>153</v>
      </c>
      <c r="E721" s="2" t="s">
        <v>355</v>
      </c>
      <c r="F721" s="2" t="s">
        <v>49</v>
      </c>
      <c r="G721" s="2">
        <f>91-79-26623692</f>
        <v>-26623680</v>
      </c>
      <c r="H721" s="3" t="s">
        <v>2873</v>
      </c>
      <c r="I721" s="3" t="s">
        <v>2874</v>
      </c>
      <c r="J721" s="2" t="s">
        <v>2875</v>
      </c>
      <c r="K721" s="2"/>
      <c r="L721" s="2"/>
      <c r="M721" s="2"/>
      <c r="N721" s="2"/>
      <c r="O721" s="2"/>
      <c r="P721" s="2" t="s">
        <v>31</v>
      </c>
      <c r="Q721" s="4">
        <v>45982</v>
      </c>
      <c r="R721" s="2" t="s">
        <v>2876</v>
      </c>
      <c r="S721" s="2">
        <v>2</v>
      </c>
      <c r="T721" s="2" t="s">
        <v>2073</v>
      </c>
      <c r="U721" s="2" t="s">
        <v>34</v>
      </c>
    </row>
    <row r="722" spans="1:21" ht="105" x14ac:dyDescent="0.25">
      <c r="A722" s="2">
        <v>82</v>
      </c>
      <c r="B722" s="2" t="s">
        <v>2877</v>
      </c>
      <c r="C722" s="2" t="s">
        <v>56</v>
      </c>
      <c r="D722" s="2" t="s">
        <v>36</v>
      </c>
      <c r="E722" s="2" t="s">
        <v>484</v>
      </c>
      <c r="F722" s="2" t="s">
        <v>59</v>
      </c>
      <c r="G722" s="2">
        <f>91-253-2385481</f>
        <v>-2385643</v>
      </c>
      <c r="H722" s="3" t="s">
        <v>2878</v>
      </c>
      <c r="I722" s="3" t="s">
        <v>2879</v>
      </c>
      <c r="J722" s="2" t="s">
        <v>2880</v>
      </c>
      <c r="K722" s="2"/>
      <c r="L722" s="2"/>
      <c r="M722" s="2"/>
      <c r="N722" s="2"/>
      <c r="O722" s="2"/>
      <c r="P722" s="2" t="s">
        <v>31</v>
      </c>
      <c r="Q722" s="4">
        <v>45982</v>
      </c>
      <c r="R722" s="2" t="s">
        <v>2881</v>
      </c>
      <c r="S722" s="2">
        <v>2</v>
      </c>
      <c r="T722" s="2" t="s">
        <v>2073</v>
      </c>
      <c r="U722" s="2" t="s">
        <v>34</v>
      </c>
    </row>
    <row r="723" spans="1:21" ht="90" x14ac:dyDescent="0.25">
      <c r="A723" s="2">
        <v>82</v>
      </c>
      <c r="B723" s="2" t="s">
        <v>2882</v>
      </c>
      <c r="C723" s="2" t="s">
        <v>56</v>
      </c>
      <c r="D723" s="2" t="s">
        <v>841</v>
      </c>
      <c r="E723" s="2" t="s">
        <v>2164</v>
      </c>
      <c r="F723" s="2" t="s">
        <v>59</v>
      </c>
      <c r="G723" s="2">
        <f>91-181-2290547</f>
        <v>-2290637</v>
      </c>
      <c r="H723" s="2"/>
      <c r="I723" s="2"/>
      <c r="J723" s="2" t="s">
        <v>2164</v>
      </c>
      <c r="K723" s="2"/>
      <c r="L723" s="2"/>
      <c r="M723" s="2"/>
      <c r="N723" s="2"/>
      <c r="O723" s="2"/>
      <c r="P723" s="2" t="s">
        <v>31</v>
      </c>
      <c r="Q723" s="4">
        <v>45982</v>
      </c>
      <c r="R723" s="2" t="s">
        <v>2883</v>
      </c>
      <c r="S723" s="2">
        <v>2</v>
      </c>
      <c r="T723" s="2" t="s">
        <v>2073</v>
      </c>
      <c r="U723" s="2" t="s">
        <v>34</v>
      </c>
    </row>
    <row r="724" spans="1:21" ht="75" x14ac:dyDescent="0.25">
      <c r="A724" s="2">
        <v>82</v>
      </c>
      <c r="B724" s="2" t="s">
        <v>2884</v>
      </c>
      <c r="C724" s="2" t="s">
        <v>56</v>
      </c>
      <c r="D724" s="2" t="s">
        <v>841</v>
      </c>
      <c r="E724" s="2" t="s">
        <v>2164</v>
      </c>
      <c r="F724" s="2" t="s">
        <v>59</v>
      </c>
      <c r="G724" s="2">
        <f>91-181-2290547</f>
        <v>-2290637</v>
      </c>
      <c r="H724" s="2"/>
      <c r="I724" s="2"/>
      <c r="J724" s="2" t="s">
        <v>2164</v>
      </c>
      <c r="K724" s="2"/>
      <c r="L724" s="2"/>
      <c r="M724" s="2"/>
      <c r="N724" s="2"/>
      <c r="O724" s="2"/>
      <c r="P724" s="2" t="s">
        <v>31</v>
      </c>
      <c r="Q724" s="4">
        <v>45982</v>
      </c>
      <c r="R724" s="2" t="s">
        <v>2885</v>
      </c>
      <c r="S724" s="2">
        <v>2</v>
      </c>
      <c r="T724" s="2" t="s">
        <v>2073</v>
      </c>
      <c r="U724" s="2" t="s">
        <v>34</v>
      </c>
    </row>
    <row r="725" spans="1:21" ht="60" x14ac:dyDescent="0.25">
      <c r="A725" s="2">
        <v>82</v>
      </c>
      <c r="B725" s="2" t="s">
        <v>2886</v>
      </c>
      <c r="C725" s="2" t="s">
        <v>56</v>
      </c>
      <c r="D725" s="2" t="s">
        <v>970</v>
      </c>
      <c r="E725" s="2" t="s">
        <v>2867</v>
      </c>
      <c r="F725" s="2" t="s">
        <v>49</v>
      </c>
      <c r="G725" s="2">
        <f>91-1582-240123</f>
        <v>-241614</v>
      </c>
      <c r="H725" s="2"/>
      <c r="I725" s="2"/>
      <c r="J725" s="2" t="s">
        <v>2867</v>
      </c>
      <c r="K725" s="2"/>
      <c r="L725" s="2"/>
      <c r="M725" s="2"/>
      <c r="N725" s="2"/>
      <c r="O725" s="2"/>
      <c r="P725" s="2" t="s">
        <v>31</v>
      </c>
      <c r="Q725" s="4">
        <v>45982</v>
      </c>
      <c r="R725" s="2" t="s">
        <v>2887</v>
      </c>
      <c r="S725" s="2">
        <v>2</v>
      </c>
      <c r="T725" s="2" t="s">
        <v>2073</v>
      </c>
      <c r="U725" s="2" t="s">
        <v>34</v>
      </c>
    </row>
    <row r="726" spans="1:21" ht="90" x14ac:dyDescent="0.25">
      <c r="A726" s="2">
        <v>82</v>
      </c>
      <c r="B726" s="2" t="s">
        <v>2888</v>
      </c>
      <c r="C726" s="2" t="s">
        <v>623</v>
      </c>
      <c r="D726" s="2" t="s">
        <v>841</v>
      </c>
      <c r="E726" s="2" t="s">
        <v>1325</v>
      </c>
      <c r="F726" s="2" t="s">
        <v>476</v>
      </c>
      <c r="G726" s="2">
        <f>91-161-2223456</f>
        <v>-2223526</v>
      </c>
      <c r="H726" s="2"/>
      <c r="I726" s="2"/>
      <c r="J726" s="2" t="s">
        <v>1325</v>
      </c>
      <c r="K726" s="2"/>
      <c r="L726" s="2"/>
      <c r="M726" s="2"/>
      <c r="N726" s="2"/>
      <c r="O726" s="2"/>
      <c r="P726" s="2" t="s">
        <v>31</v>
      </c>
      <c r="Q726" s="4">
        <v>45982</v>
      </c>
      <c r="R726" s="2" t="s">
        <v>2889</v>
      </c>
      <c r="S726" s="2">
        <v>2</v>
      </c>
      <c r="T726" s="2" t="s">
        <v>2073</v>
      </c>
      <c r="U726" s="2" t="s">
        <v>34</v>
      </c>
    </row>
    <row r="727" spans="1:21" ht="75" x14ac:dyDescent="0.25">
      <c r="A727" s="2">
        <v>82</v>
      </c>
      <c r="B727" s="2" t="s">
        <v>2890</v>
      </c>
      <c r="C727" s="2" t="s">
        <v>623</v>
      </c>
      <c r="D727" s="2" t="s">
        <v>970</v>
      </c>
      <c r="E727" s="2" t="s">
        <v>2867</v>
      </c>
      <c r="F727" s="2" t="s">
        <v>25</v>
      </c>
      <c r="G727" s="2">
        <f>91-1582-241234</f>
        <v>-242725</v>
      </c>
      <c r="H727" s="2"/>
      <c r="I727" s="2"/>
      <c r="J727" s="2" t="s">
        <v>2867</v>
      </c>
      <c r="K727" s="2"/>
      <c r="L727" s="2"/>
      <c r="M727" s="2"/>
      <c r="N727" s="2"/>
      <c r="O727" s="2"/>
      <c r="P727" s="2" t="s">
        <v>31</v>
      </c>
      <c r="Q727" s="4">
        <v>45982</v>
      </c>
      <c r="R727" s="2" t="s">
        <v>2891</v>
      </c>
      <c r="S727" s="2">
        <v>2</v>
      </c>
      <c r="T727" s="2" t="s">
        <v>2073</v>
      </c>
      <c r="U727" s="2" t="s">
        <v>34</v>
      </c>
    </row>
    <row r="728" spans="1:21" ht="45" x14ac:dyDescent="0.25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4</v>
      </c>
      <c r="F728" s="1" t="s">
        <v>5</v>
      </c>
      <c r="G728" s="1" t="s">
        <v>6</v>
      </c>
      <c r="H728" s="1" t="s">
        <v>7</v>
      </c>
      <c r="I728" s="1" t="s">
        <v>8</v>
      </c>
      <c r="J728" s="1" t="s">
        <v>9</v>
      </c>
      <c r="K728" s="1" t="s">
        <v>10</v>
      </c>
      <c r="L728" s="1" t="s">
        <v>11</v>
      </c>
      <c r="M728" s="1" t="s">
        <v>12</v>
      </c>
      <c r="N728" s="1" t="s">
        <v>13</v>
      </c>
      <c r="O728" s="1" t="s">
        <v>14</v>
      </c>
      <c r="P728" s="1" t="s">
        <v>15</v>
      </c>
      <c r="Q728" s="1" t="s">
        <v>16</v>
      </c>
      <c r="R728" s="1" t="s">
        <v>17</v>
      </c>
      <c r="S728" s="1" t="s">
        <v>18</v>
      </c>
      <c r="T728" s="1" t="s">
        <v>19</v>
      </c>
      <c r="U728" s="1" t="s">
        <v>20</v>
      </c>
    </row>
    <row r="729" spans="1:21" ht="135" x14ac:dyDescent="0.25">
      <c r="A729" s="2">
        <v>91</v>
      </c>
      <c r="B729" s="2" t="s">
        <v>2892</v>
      </c>
      <c r="C729" s="2" t="s">
        <v>22</v>
      </c>
      <c r="D729" s="2" t="s">
        <v>36</v>
      </c>
      <c r="E729" s="2" t="s">
        <v>37</v>
      </c>
      <c r="F729" s="2" t="s">
        <v>2893</v>
      </c>
      <c r="G729" s="2">
        <f>91-22-22835893</f>
        <v>-22835824</v>
      </c>
      <c r="H729" s="2"/>
      <c r="I729" s="3" t="s">
        <v>2649</v>
      </c>
      <c r="J729" s="2" t="s">
        <v>526</v>
      </c>
      <c r="K729" s="2"/>
      <c r="L729" s="2"/>
      <c r="M729" s="2" t="s">
        <v>2894</v>
      </c>
      <c r="N729" s="2"/>
      <c r="O729" s="2"/>
      <c r="P729" s="2" t="s">
        <v>31</v>
      </c>
      <c r="Q729" s="4">
        <v>45982</v>
      </c>
      <c r="R729" s="2"/>
      <c r="S729" s="2">
        <v>2</v>
      </c>
      <c r="T729" s="2" t="s">
        <v>2117</v>
      </c>
      <c r="U729" s="2" t="s">
        <v>34</v>
      </c>
    </row>
    <row r="730" spans="1:21" ht="120" x14ac:dyDescent="0.25">
      <c r="A730" s="2">
        <v>91</v>
      </c>
      <c r="B730" s="2" t="s">
        <v>2895</v>
      </c>
      <c r="C730" s="2" t="s">
        <v>22</v>
      </c>
      <c r="D730" s="2" t="s">
        <v>147</v>
      </c>
      <c r="E730" s="2" t="s">
        <v>148</v>
      </c>
      <c r="F730" s="2" t="s">
        <v>2896</v>
      </c>
      <c r="G730" s="2">
        <f>91-33-22891724</f>
        <v>-22891666</v>
      </c>
      <c r="H730" s="3" t="s">
        <v>1725</v>
      </c>
      <c r="I730" s="3" t="s">
        <v>2649</v>
      </c>
      <c r="J730" s="2" t="s">
        <v>2650</v>
      </c>
      <c r="K730" s="2"/>
      <c r="L730" s="2"/>
      <c r="M730" s="2" t="s">
        <v>2897</v>
      </c>
      <c r="N730" s="2"/>
      <c r="O730" s="2"/>
      <c r="P730" s="2" t="s">
        <v>31</v>
      </c>
      <c r="Q730" s="4">
        <v>45982</v>
      </c>
      <c r="R730" s="2"/>
      <c r="S730" s="2">
        <v>2</v>
      </c>
      <c r="T730" s="2" t="s">
        <v>2117</v>
      </c>
      <c r="U730" s="2" t="s">
        <v>34</v>
      </c>
    </row>
    <row r="731" spans="1:21" ht="120" x14ac:dyDescent="0.25">
      <c r="A731" s="2">
        <v>91</v>
      </c>
      <c r="B731" s="2" t="s">
        <v>2898</v>
      </c>
      <c r="C731" s="2" t="s">
        <v>22</v>
      </c>
      <c r="D731" s="2" t="s">
        <v>23</v>
      </c>
      <c r="E731" s="2" t="s">
        <v>24</v>
      </c>
      <c r="F731" s="2" t="s">
        <v>25</v>
      </c>
      <c r="G731" s="2">
        <f>91-11-47480000</f>
        <v>-47479920</v>
      </c>
      <c r="H731" s="3" t="s">
        <v>2899</v>
      </c>
      <c r="I731" s="3" t="s">
        <v>2900</v>
      </c>
      <c r="J731" s="2" t="s">
        <v>24</v>
      </c>
      <c r="K731" s="2"/>
      <c r="L731" s="2"/>
      <c r="M731" s="2" t="s">
        <v>2901</v>
      </c>
      <c r="N731" s="2"/>
      <c r="O731" s="2"/>
      <c r="P731" s="2" t="s">
        <v>31</v>
      </c>
      <c r="Q731" s="4">
        <v>45982</v>
      </c>
      <c r="R731" s="2"/>
      <c r="S731" s="2">
        <v>2</v>
      </c>
      <c r="T731" s="2" t="s">
        <v>2117</v>
      </c>
      <c r="U731" s="2" t="s">
        <v>34</v>
      </c>
    </row>
    <row r="732" spans="1:21" ht="120" x14ac:dyDescent="0.25">
      <c r="A732" s="2">
        <v>91</v>
      </c>
      <c r="B732" s="2" t="s">
        <v>2902</v>
      </c>
      <c r="C732" s="2" t="s">
        <v>22</v>
      </c>
      <c r="D732" s="2" t="s">
        <v>36</v>
      </c>
      <c r="E732" s="2" t="s">
        <v>37</v>
      </c>
      <c r="F732" s="2" t="s">
        <v>476</v>
      </c>
      <c r="G732" s="2">
        <f>91-22-22661111</f>
        <v>-22661042</v>
      </c>
      <c r="H732" s="2"/>
      <c r="I732" s="2"/>
      <c r="J732" s="2" t="s">
        <v>526</v>
      </c>
      <c r="K732" s="2"/>
      <c r="L732" s="2"/>
      <c r="M732" s="2"/>
      <c r="N732" s="2"/>
      <c r="O732" s="2"/>
      <c r="P732" s="2" t="s">
        <v>31</v>
      </c>
      <c r="Q732" s="4">
        <v>45982</v>
      </c>
      <c r="R732" s="2" t="s">
        <v>2903</v>
      </c>
      <c r="S732" s="2">
        <v>2</v>
      </c>
      <c r="T732" s="2" t="s">
        <v>2117</v>
      </c>
      <c r="U732" s="2" t="s">
        <v>34</v>
      </c>
    </row>
    <row r="733" spans="1:21" ht="90" x14ac:dyDescent="0.25">
      <c r="A733" s="2">
        <v>91</v>
      </c>
      <c r="B733" s="2" t="s">
        <v>2904</v>
      </c>
      <c r="C733" s="2" t="s">
        <v>56</v>
      </c>
      <c r="D733" s="2" t="s">
        <v>298</v>
      </c>
      <c r="E733" s="2" t="s">
        <v>578</v>
      </c>
      <c r="F733" s="2" t="s">
        <v>59</v>
      </c>
      <c r="G733" s="2">
        <f>91-80-66609000</f>
        <v>-66608989</v>
      </c>
      <c r="H733" s="3" t="s">
        <v>2905</v>
      </c>
      <c r="I733" s="3" t="s">
        <v>2906</v>
      </c>
      <c r="J733" s="2" t="s">
        <v>2907</v>
      </c>
      <c r="K733" s="2"/>
      <c r="L733" s="2"/>
      <c r="M733" s="2"/>
      <c r="N733" s="2"/>
      <c r="O733" s="2"/>
      <c r="P733" s="2" t="s">
        <v>31</v>
      </c>
      <c r="Q733" s="4">
        <v>45982</v>
      </c>
      <c r="R733" s="2" t="s">
        <v>2908</v>
      </c>
      <c r="S733" s="2">
        <v>2</v>
      </c>
      <c r="T733" s="2" t="s">
        <v>2117</v>
      </c>
      <c r="U733" s="2" t="s">
        <v>34</v>
      </c>
    </row>
    <row r="734" spans="1:21" ht="75" x14ac:dyDescent="0.25">
      <c r="A734" s="2">
        <v>91</v>
      </c>
      <c r="B734" s="2" t="s">
        <v>2909</v>
      </c>
      <c r="C734" s="2" t="s">
        <v>56</v>
      </c>
      <c r="D734" s="2" t="s">
        <v>57</v>
      </c>
      <c r="E734" s="2" t="s">
        <v>2461</v>
      </c>
      <c r="F734" s="2" t="s">
        <v>59</v>
      </c>
      <c r="G734" s="2">
        <f>91-120-6741000</f>
        <v>-6741029</v>
      </c>
      <c r="H734" s="2"/>
      <c r="I734" s="2"/>
      <c r="J734" s="2" t="s">
        <v>1912</v>
      </c>
      <c r="K734" s="2"/>
      <c r="L734" s="2"/>
      <c r="M734" s="2"/>
      <c r="N734" s="2"/>
      <c r="O734" s="2"/>
      <c r="P734" s="2" t="s">
        <v>31</v>
      </c>
      <c r="Q734" s="4">
        <v>45982</v>
      </c>
      <c r="R734" s="2" t="s">
        <v>2910</v>
      </c>
      <c r="S734" s="2">
        <v>2</v>
      </c>
      <c r="T734" s="2" t="s">
        <v>2117</v>
      </c>
      <c r="U734" s="2" t="s">
        <v>34</v>
      </c>
    </row>
    <row r="735" spans="1:21" ht="105" x14ac:dyDescent="0.25">
      <c r="A735" s="2">
        <v>91</v>
      </c>
      <c r="B735" s="2" t="s">
        <v>2911</v>
      </c>
      <c r="C735" s="2" t="s">
        <v>56</v>
      </c>
      <c r="D735" s="2" t="s">
        <v>23</v>
      </c>
      <c r="E735" s="2" t="s">
        <v>24</v>
      </c>
      <c r="F735" s="2" t="s">
        <v>49</v>
      </c>
      <c r="G735" s="2">
        <f>91-11-41000000</f>
        <v>-40999920</v>
      </c>
      <c r="H735" s="2"/>
      <c r="I735" s="2"/>
      <c r="J735" s="2" t="s">
        <v>284</v>
      </c>
      <c r="K735" s="2"/>
      <c r="L735" s="2"/>
      <c r="M735" s="2"/>
      <c r="N735" s="2"/>
      <c r="O735" s="2"/>
      <c r="P735" s="2" t="s">
        <v>31</v>
      </c>
      <c r="Q735" s="4">
        <v>45982</v>
      </c>
      <c r="R735" s="2" t="s">
        <v>2912</v>
      </c>
      <c r="S735" s="2">
        <v>2</v>
      </c>
      <c r="T735" s="2" t="s">
        <v>2117</v>
      </c>
      <c r="U735" s="2" t="s">
        <v>34</v>
      </c>
    </row>
    <row r="736" spans="1:21" ht="75" x14ac:dyDescent="0.25">
      <c r="A736" s="2">
        <v>91</v>
      </c>
      <c r="B736" s="2" t="s">
        <v>2913</v>
      </c>
      <c r="C736" s="2" t="s">
        <v>56</v>
      </c>
      <c r="D736" s="2" t="s">
        <v>321</v>
      </c>
      <c r="E736" s="2" t="s">
        <v>583</v>
      </c>
      <c r="F736" s="2" t="s">
        <v>113</v>
      </c>
      <c r="G736" s="2">
        <f>91-124-4100000</f>
        <v>-4100033</v>
      </c>
      <c r="H736" s="2"/>
      <c r="I736" s="2"/>
      <c r="J736" s="2" t="s">
        <v>583</v>
      </c>
      <c r="K736" s="2"/>
      <c r="L736" s="2"/>
      <c r="M736" s="2"/>
      <c r="N736" s="2"/>
      <c r="O736" s="2"/>
      <c r="P736" s="2" t="s">
        <v>31</v>
      </c>
      <c r="Q736" s="4">
        <v>45982</v>
      </c>
      <c r="R736" s="2" t="s">
        <v>2914</v>
      </c>
      <c r="S736" s="2">
        <v>2</v>
      </c>
      <c r="T736" s="2" t="s">
        <v>2117</v>
      </c>
      <c r="U736" s="2" t="s">
        <v>34</v>
      </c>
    </row>
    <row r="737" spans="1:21" ht="90" x14ac:dyDescent="0.25">
      <c r="A737" s="2">
        <v>91</v>
      </c>
      <c r="B737" s="2" t="s">
        <v>2915</v>
      </c>
      <c r="C737" s="2" t="s">
        <v>56</v>
      </c>
      <c r="D737" s="2" t="s">
        <v>36</v>
      </c>
      <c r="E737" s="2" t="s">
        <v>37</v>
      </c>
      <c r="F737" s="2" t="s">
        <v>49</v>
      </c>
      <c r="G737" s="2">
        <f>91-22-41000000</f>
        <v>-40999931</v>
      </c>
      <c r="H737" s="2"/>
      <c r="I737" s="2"/>
      <c r="J737" s="2" t="s">
        <v>526</v>
      </c>
      <c r="K737" s="2"/>
      <c r="L737" s="2"/>
      <c r="M737" s="2"/>
      <c r="N737" s="2"/>
      <c r="O737" s="2"/>
      <c r="P737" s="2" t="s">
        <v>31</v>
      </c>
      <c r="Q737" s="4">
        <v>45982</v>
      </c>
      <c r="R737" s="2" t="s">
        <v>2916</v>
      </c>
      <c r="S737" s="2">
        <v>2</v>
      </c>
      <c r="T737" s="2" t="s">
        <v>2117</v>
      </c>
      <c r="U737" s="2" t="s">
        <v>34</v>
      </c>
    </row>
    <row r="738" spans="1:21" ht="90" x14ac:dyDescent="0.25">
      <c r="A738" s="2">
        <v>91</v>
      </c>
      <c r="B738" s="2" t="s">
        <v>2917</v>
      </c>
      <c r="C738" s="2" t="s">
        <v>426</v>
      </c>
      <c r="D738" s="2" t="s">
        <v>102</v>
      </c>
      <c r="E738" s="2" t="s">
        <v>427</v>
      </c>
      <c r="F738" s="2" t="s">
        <v>2621</v>
      </c>
      <c r="G738" s="2">
        <f>91-4344-244000</f>
        <v>-248253</v>
      </c>
      <c r="H738" s="2"/>
      <c r="I738" s="2"/>
      <c r="J738" s="2" t="s">
        <v>2918</v>
      </c>
      <c r="K738" s="2"/>
      <c r="L738" s="2"/>
      <c r="M738" s="2"/>
      <c r="N738" s="2"/>
      <c r="O738" s="2"/>
      <c r="P738" s="2" t="s">
        <v>31</v>
      </c>
      <c r="Q738" s="4">
        <v>45982</v>
      </c>
      <c r="R738" s="2" t="s">
        <v>2919</v>
      </c>
      <c r="S738" s="2">
        <v>2</v>
      </c>
      <c r="T738" s="2" t="s">
        <v>2117</v>
      </c>
      <c r="U738" s="2" t="s">
        <v>34</v>
      </c>
    </row>
    <row r="739" spans="1:21" ht="90" x14ac:dyDescent="0.25">
      <c r="A739" s="2">
        <v>91</v>
      </c>
      <c r="B739" s="2" t="s">
        <v>2920</v>
      </c>
      <c r="C739" s="2" t="s">
        <v>426</v>
      </c>
      <c r="D739" s="2" t="s">
        <v>321</v>
      </c>
      <c r="E739" s="2" t="s">
        <v>583</v>
      </c>
      <c r="F739" s="2" t="s">
        <v>476</v>
      </c>
      <c r="G739" s="2">
        <f>91-124-4100000</f>
        <v>-4100033</v>
      </c>
      <c r="H739" s="2"/>
      <c r="I739" s="2"/>
      <c r="J739" s="2" t="s">
        <v>2921</v>
      </c>
      <c r="K739" s="2"/>
      <c r="L739" s="2"/>
      <c r="M739" s="2"/>
      <c r="N739" s="2"/>
      <c r="O739" s="2"/>
      <c r="P739" s="2" t="s">
        <v>31</v>
      </c>
      <c r="Q739" s="4">
        <v>45982</v>
      </c>
      <c r="R739" s="2" t="s">
        <v>2922</v>
      </c>
      <c r="S739" s="2">
        <v>2</v>
      </c>
      <c r="T739" s="2" t="s">
        <v>2117</v>
      </c>
      <c r="U739" s="2" t="s">
        <v>34</v>
      </c>
    </row>
    <row r="740" spans="1:21" ht="90" x14ac:dyDescent="0.25">
      <c r="A740" s="2">
        <v>91</v>
      </c>
      <c r="B740" s="2" t="s">
        <v>2923</v>
      </c>
      <c r="C740" s="2" t="s">
        <v>119</v>
      </c>
      <c r="D740" s="2" t="s">
        <v>23</v>
      </c>
      <c r="E740" s="2" t="s">
        <v>24</v>
      </c>
      <c r="F740" s="2" t="s">
        <v>49</v>
      </c>
      <c r="G740" s="2">
        <f>91-11-26542000</f>
        <v>-26541920</v>
      </c>
      <c r="H740" s="3" t="s">
        <v>2617</v>
      </c>
      <c r="I740" s="3" t="s">
        <v>2304</v>
      </c>
      <c r="J740" s="2" t="s">
        <v>2924</v>
      </c>
      <c r="K740" s="2"/>
      <c r="L740" s="2"/>
      <c r="M740" s="2"/>
      <c r="N740" s="2"/>
      <c r="O740" s="2"/>
      <c r="P740" s="2" t="s">
        <v>31</v>
      </c>
      <c r="Q740" s="4">
        <v>45982</v>
      </c>
      <c r="R740" s="2" t="s">
        <v>2925</v>
      </c>
      <c r="S740" s="2">
        <v>2</v>
      </c>
      <c r="T740" s="2" t="s">
        <v>2117</v>
      </c>
      <c r="U740" s="2" t="s">
        <v>34</v>
      </c>
    </row>
    <row r="741" spans="1:21" ht="45" x14ac:dyDescent="0.25">
      <c r="A741" s="1" t="s">
        <v>0</v>
      </c>
      <c r="B741" s="1" t="s">
        <v>1</v>
      </c>
      <c r="C741" s="1" t="s">
        <v>2</v>
      </c>
      <c r="D741" s="1" t="s">
        <v>3</v>
      </c>
      <c r="E741" s="1" t="s">
        <v>4</v>
      </c>
      <c r="F741" s="1" t="s">
        <v>5</v>
      </c>
      <c r="G741" s="1" t="s">
        <v>6</v>
      </c>
      <c r="H741" s="1" t="s">
        <v>7</v>
      </c>
      <c r="I741" s="1" t="s">
        <v>8</v>
      </c>
      <c r="J741" s="1" t="s">
        <v>9</v>
      </c>
      <c r="K741" s="1" t="s">
        <v>10</v>
      </c>
      <c r="L741" s="1" t="s">
        <v>11</v>
      </c>
      <c r="M741" s="1" t="s">
        <v>12</v>
      </c>
      <c r="N741" s="1" t="s">
        <v>13</v>
      </c>
      <c r="O741" s="1" t="s">
        <v>14</v>
      </c>
      <c r="P741" s="1" t="s">
        <v>15</v>
      </c>
      <c r="Q741" s="1" t="s">
        <v>16</v>
      </c>
      <c r="R741" s="1" t="s">
        <v>17</v>
      </c>
      <c r="S741" s="1" t="s">
        <v>18</v>
      </c>
      <c r="T741" s="1" t="s">
        <v>19</v>
      </c>
      <c r="U741" s="1" t="s">
        <v>20</v>
      </c>
    </row>
    <row r="742" spans="1:21" ht="150" x14ac:dyDescent="0.25">
      <c r="A742" s="2">
        <v>92</v>
      </c>
      <c r="B742" s="2" t="s">
        <v>1019</v>
      </c>
      <c r="C742" s="2" t="s">
        <v>22</v>
      </c>
      <c r="D742" s="2" t="s">
        <v>23</v>
      </c>
      <c r="E742" s="2" t="s">
        <v>24</v>
      </c>
      <c r="F742" s="2" t="s">
        <v>897</v>
      </c>
      <c r="G742" s="2">
        <f>91-11-26135256</f>
        <v>-26135176</v>
      </c>
      <c r="H742" s="3" t="s">
        <v>1020</v>
      </c>
      <c r="I742" s="3" t="s">
        <v>1021</v>
      </c>
      <c r="J742" s="2" t="s">
        <v>1744</v>
      </c>
      <c r="K742" s="2"/>
      <c r="L742" s="2"/>
      <c r="M742" s="2" t="s">
        <v>2926</v>
      </c>
      <c r="N742" s="2"/>
      <c r="O742" s="2"/>
      <c r="P742" s="2" t="s">
        <v>31</v>
      </c>
      <c r="Q742" s="4">
        <v>45982</v>
      </c>
      <c r="R742" s="2" t="s">
        <v>2927</v>
      </c>
      <c r="S742" s="2">
        <v>2</v>
      </c>
      <c r="T742" s="2" t="s">
        <v>2156</v>
      </c>
      <c r="U742" s="2" t="s">
        <v>34</v>
      </c>
    </row>
    <row r="743" spans="1:21" ht="165" x14ac:dyDescent="0.25">
      <c r="A743" s="2">
        <v>92</v>
      </c>
      <c r="B743" s="2" t="s">
        <v>2928</v>
      </c>
      <c r="C743" s="2" t="s">
        <v>22</v>
      </c>
      <c r="D743" s="2" t="s">
        <v>102</v>
      </c>
      <c r="E743" s="2" t="s">
        <v>158</v>
      </c>
      <c r="F743" s="2" t="s">
        <v>49</v>
      </c>
      <c r="G743" s="2">
        <f>91-44-28278879</f>
        <v>-28278832</v>
      </c>
      <c r="H743" s="3" t="s">
        <v>2472</v>
      </c>
      <c r="I743" s="3" t="s">
        <v>2929</v>
      </c>
      <c r="J743" s="2" t="s">
        <v>158</v>
      </c>
      <c r="K743" s="2"/>
      <c r="L743" s="2"/>
      <c r="M743" s="2" t="s">
        <v>2930</v>
      </c>
      <c r="N743" s="2"/>
      <c r="O743" s="2"/>
      <c r="P743" s="2" t="s">
        <v>31</v>
      </c>
      <c r="Q743" s="4">
        <v>45982</v>
      </c>
      <c r="R743" s="2"/>
      <c r="S743" s="2">
        <v>2</v>
      </c>
      <c r="T743" s="2" t="s">
        <v>2156</v>
      </c>
      <c r="U743" s="2" t="s">
        <v>34</v>
      </c>
    </row>
    <row r="744" spans="1:21" ht="180" x14ac:dyDescent="0.25">
      <c r="A744" s="2">
        <v>92</v>
      </c>
      <c r="B744" s="2" t="s">
        <v>2931</v>
      </c>
      <c r="C744" s="2" t="s">
        <v>22</v>
      </c>
      <c r="D744" s="2" t="s">
        <v>147</v>
      </c>
      <c r="E744" s="2" t="s">
        <v>148</v>
      </c>
      <c r="F744" s="2" t="s">
        <v>476</v>
      </c>
      <c r="G744" s="2">
        <f>91-33-22356677</f>
        <v>-22356619</v>
      </c>
      <c r="H744" s="2"/>
      <c r="I744" s="2"/>
      <c r="J744" s="2" t="s">
        <v>148</v>
      </c>
      <c r="K744" s="2"/>
      <c r="L744" s="2"/>
      <c r="M744" s="2"/>
      <c r="N744" s="2"/>
      <c r="O744" s="2"/>
      <c r="P744" s="2" t="s">
        <v>31</v>
      </c>
      <c r="Q744" s="4">
        <v>45982</v>
      </c>
      <c r="R744" s="2" t="s">
        <v>2932</v>
      </c>
      <c r="S744" s="2">
        <v>2</v>
      </c>
      <c r="T744" s="2" t="s">
        <v>2156</v>
      </c>
      <c r="U744" s="2" t="s">
        <v>34</v>
      </c>
    </row>
    <row r="745" spans="1:21" ht="90" x14ac:dyDescent="0.25">
      <c r="A745" s="2">
        <v>92</v>
      </c>
      <c r="B745" s="2" t="s">
        <v>2933</v>
      </c>
      <c r="C745" s="2" t="s">
        <v>426</v>
      </c>
      <c r="D745" s="2" t="s">
        <v>36</v>
      </c>
      <c r="E745" s="2" t="s">
        <v>2934</v>
      </c>
      <c r="F745" s="2" t="s">
        <v>2621</v>
      </c>
      <c r="G745" s="2">
        <f>91-233-2223456</f>
        <v>-2223598</v>
      </c>
      <c r="H745" s="2"/>
      <c r="I745" s="2"/>
      <c r="J745" s="2" t="s">
        <v>2935</v>
      </c>
      <c r="K745" s="2"/>
      <c r="L745" s="2"/>
      <c r="M745" s="2"/>
      <c r="N745" s="2"/>
      <c r="O745" s="2"/>
      <c r="P745" s="2" t="s">
        <v>31</v>
      </c>
      <c r="Q745" s="4">
        <v>45982</v>
      </c>
      <c r="R745" s="2" t="s">
        <v>2936</v>
      </c>
      <c r="S745" s="2">
        <v>2</v>
      </c>
      <c r="T745" s="2" t="s">
        <v>2156</v>
      </c>
      <c r="U745" s="2" t="s">
        <v>34</v>
      </c>
    </row>
    <row r="746" spans="1:21" ht="75" x14ac:dyDescent="0.25">
      <c r="A746" s="2">
        <v>92</v>
      </c>
      <c r="B746" s="2" t="s">
        <v>2937</v>
      </c>
      <c r="C746" s="2" t="s">
        <v>426</v>
      </c>
      <c r="D746" s="2" t="s">
        <v>57</v>
      </c>
      <c r="E746" s="2" t="s">
        <v>558</v>
      </c>
      <c r="F746" s="2" t="s">
        <v>2621</v>
      </c>
      <c r="G746" s="2">
        <f>91-542-2223456</f>
        <v>-2223907</v>
      </c>
      <c r="H746" s="2"/>
      <c r="I746" s="2"/>
      <c r="J746" s="2" t="s">
        <v>558</v>
      </c>
      <c r="K746" s="2"/>
      <c r="L746" s="2"/>
      <c r="M746" s="2"/>
      <c r="N746" s="2"/>
      <c r="O746" s="2"/>
      <c r="P746" s="2" t="s">
        <v>31</v>
      </c>
      <c r="Q746" s="4">
        <v>45982</v>
      </c>
      <c r="R746" s="2" t="s">
        <v>2938</v>
      </c>
      <c r="S746" s="2">
        <v>2</v>
      </c>
      <c r="T746" s="2" t="s">
        <v>2156</v>
      </c>
      <c r="U746" s="2" t="s">
        <v>34</v>
      </c>
    </row>
    <row r="747" spans="1:21" ht="75" x14ac:dyDescent="0.25">
      <c r="A747" s="2">
        <v>92</v>
      </c>
      <c r="B747" s="2" t="s">
        <v>2939</v>
      </c>
      <c r="C747" s="2" t="s">
        <v>426</v>
      </c>
      <c r="D747" s="2" t="s">
        <v>147</v>
      </c>
      <c r="E747" s="2" t="s">
        <v>148</v>
      </c>
      <c r="F747" s="2" t="s">
        <v>2621</v>
      </c>
      <c r="G747" s="2">
        <f>91-33-22356677</f>
        <v>-22356619</v>
      </c>
      <c r="H747" s="2"/>
      <c r="I747" s="2"/>
      <c r="J747" s="2" t="s">
        <v>2581</v>
      </c>
      <c r="K747" s="2"/>
      <c r="L747" s="2"/>
      <c r="M747" s="2"/>
      <c r="N747" s="2"/>
      <c r="O747" s="2"/>
      <c r="P747" s="2" t="s">
        <v>31</v>
      </c>
      <c r="Q747" s="4">
        <v>45982</v>
      </c>
      <c r="R747" s="2" t="s">
        <v>2940</v>
      </c>
      <c r="S747" s="2">
        <v>2</v>
      </c>
      <c r="T747" s="2" t="s">
        <v>2156</v>
      </c>
      <c r="U747" s="2" t="s">
        <v>34</v>
      </c>
    </row>
    <row r="748" spans="1:21" ht="105" x14ac:dyDescent="0.25">
      <c r="A748" s="2">
        <v>92</v>
      </c>
      <c r="B748" s="2" t="s">
        <v>2941</v>
      </c>
      <c r="C748" s="2" t="s">
        <v>119</v>
      </c>
      <c r="D748" s="2" t="s">
        <v>153</v>
      </c>
      <c r="E748" s="2" t="s">
        <v>355</v>
      </c>
      <c r="F748" s="2" t="s">
        <v>49</v>
      </c>
      <c r="G748" s="2">
        <f>91-79-26623692</f>
        <v>-26623680</v>
      </c>
      <c r="H748" s="3" t="s">
        <v>2873</v>
      </c>
      <c r="I748" s="3" t="s">
        <v>2874</v>
      </c>
      <c r="J748" s="2" t="s">
        <v>355</v>
      </c>
      <c r="K748" s="2"/>
      <c r="L748" s="2"/>
      <c r="M748" s="2"/>
      <c r="N748" s="2"/>
      <c r="O748" s="2"/>
      <c r="P748" s="2" t="s">
        <v>31</v>
      </c>
      <c r="Q748" s="4">
        <v>45982</v>
      </c>
      <c r="R748" s="2" t="s">
        <v>2942</v>
      </c>
      <c r="S748" s="2">
        <v>2</v>
      </c>
      <c r="T748" s="2" t="s">
        <v>2156</v>
      </c>
      <c r="U748" s="2" t="s">
        <v>34</v>
      </c>
    </row>
    <row r="749" spans="1:21" ht="135" x14ac:dyDescent="0.25">
      <c r="A749" s="2">
        <v>92</v>
      </c>
      <c r="B749" s="2" t="s">
        <v>2943</v>
      </c>
      <c r="C749" s="2" t="s">
        <v>56</v>
      </c>
      <c r="D749" s="2" t="s">
        <v>23</v>
      </c>
      <c r="E749" s="2" t="s">
        <v>24</v>
      </c>
      <c r="F749" s="2" t="s">
        <v>49</v>
      </c>
      <c r="G749" s="2">
        <f>91-11-23327686</f>
        <v>-23327606</v>
      </c>
      <c r="H749" s="3" t="s">
        <v>2944</v>
      </c>
      <c r="I749" s="3" t="s">
        <v>2945</v>
      </c>
      <c r="J749" s="2" t="s">
        <v>2946</v>
      </c>
      <c r="K749" s="2"/>
      <c r="L749" s="2"/>
      <c r="M749" s="2"/>
      <c r="N749" s="2"/>
      <c r="O749" s="2"/>
      <c r="P749" s="2" t="s">
        <v>31</v>
      </c>
      <c r="Q749" s="4">
        <v>45982</v>
      </c>
      <c r="R749" s="2" t="s">
        <v>2947</v>
      </c>
      <c r="S749" s="2">
        <v>2</v>
      </c>
      <c r="T749" s="2" t="s">
        <v>2156</v>
      </c>
      <c r="U749" s="2" t="s">
        <v>34</v>
      </c>
    </row>
    <row r="750" spans="1:21" ht="75" x14ac:dyDescent="0.25">
      <c r="A750" s="2">
        <v>92</v>
      </c>
      <c r="B750" s="2" t="s">
        <v>2948</v>
      </c>
      <c r="C750" s="2" t="s">
        <v>56</v>
      </c>
      <c r="D750" s="2" t="s">
        <v>57</v>
      </c>
      <c r="E750" s="2" t="s">
        <v>558</v>
      </c>
      <c r="F750" s="2" t="s">
        <v>49</v>
      </c>
      <c r="G750" s="2">
        <f>91-542-2456789</f>
        <v>-2457240</v>
      </c>
      <c r="H750" s="2"/>
      <c r="I750" s="2"/>
      <c r="J750" s="2" t="s">
        <v>558</v>
      </c>
      <c r="K750" s="2"/>
      <c r="L750" s="2"/>
      <c r="M750" s="2"/>
      <c r="N750" s="2"/>
      <c r="O750" s="2"/>
      <c r="P750" s="2" t="s">
        <v>31</v>
      </c>
      <c r="Q750" s="4">
        <v>45982</v>
      </c>
      <c r="R750" s="2" t="s">
        <v>2949</v>
      </c>
      <c r="S750" s="2">
        <v>2</v>
      </c>
      <c r="T750" s="2" t="s">
        <v>2156</v>
      </c>
      <c r="U750" s="2" t="s">
        <v>34</v>
      </c>
    </row>
    <row r="751" spans="1:21" ht="75" x14ac:dyDescent="0.25">
      <c r="A751" s="2">
        <v>92</v>
      </c>
      <c r="B751" s="2" t="s">
        <v>2950</v>
      </c>
      <c r="C751" s="2" t="s">
        <v>56</v>
      </c>
      <c r="D751" s="2" t="s">
        <v>147</v>
      </c>
      <c r="E751" s="2" t="s">
        <v>148</v>
      </c>
      <c r="F751" s="2" t="s">
        <v>49</v>
      </c>
      <c r="G751" s="2">
        <f>91-33-22356677</f>
        <v>-22356619</v>
      </c>
      <c r="H751" s="2"/>
      <c r="I751" s="2"/>
      <c r="J751" s="2" t="s">
        <v>148</v>
      </c>
      <c r="K751" s="2"/>
      <c r="L751" s="2"/>
      <c r="M751" s="2"/>
      <c r="N751" s="2"/>
      <c r="O751" s="2"/>
      <c r="P751" s="2" t="s">
        <v>31</v>
      </c>
      <c r="Q751" s="4">
        <v>45982</v>
      </c>
      <c r="R751" s="2" t="s">
        <v>2951</v>
      </c>
      <c r="S751" s="2">
        <v>2</v>
      </c>
      <c r="T751" s="2" t="s">
        <v>2156</v>
      </c>
      <c r="U751" s="2" t="s">
        <v>34</v>
      </c>
    </row>
    <row r="752" spans="1:21" ht="75" x14ac:dyDescent="0.25">
      <c r="A752" s="2">
        <v>92</v>
      </c>
      <c r="B752" s="2" t="s">
        <v>2952</v>
      </c>
      <c r="C752" s="2" t="s">
        <v>56</v>
      </c>
      <c r="D752" s="2" t="s">
        <v>36</v>
      </c>
      <c r="E752" s="2" t="s">
        <v>2934</v>
      </c>
      <c r="F752" s="2" t="s">
        <v>49</v>
      </c>
      <c r="G752" s="2">
        <f>91-233-2223456</f>
        <v>-2223598</v>
      </c>
      <c r="H752" s="2"/>
      <c r="I752" s="2"/>
      <c r="J752" s="2" t="s">
        <v>2935</v>
      </c>
      <c r="K752" s="2"/>
      <c r="L752" s="2"/>
      <c r="M752" s="2"/>
      <c r="N752" s="2"/>
      <c r="O752" s="2"/>
      <c r="P752" s="2" t="s">
        <v>31</v>
      </c>
      <c r="Q752" s="4">
        <v>45982</v>
      </c>
      <c r="R752" s="2" t="s">
        <v>2953</v>
      </c>
      <c r="S752" s="2">
        <v>2</v>
      </c>
      <c r="T752" s="2" t="s">
        <v>2156</v>
      </c>
      <c r="U752" s="2" t="s">
        <v>34</v>
      </c>
    </row>
    <row r="753" spans="1:21" ht="105" x14ac:dyDescent="0.25">
      <c r="A753" s="2">
        <v>92</v>
      </c>
      <c r="B753" s="2" t="s">
        <v>2954</v>
      </c>
      <c r="C753" s="2" t="s">
        <v>56</v>
      </c>
      <c r="D753" s="2" t="s">
        <v>321</v>
      </c>
      <c r="E753" s="2" t="s">
        <v>583</v>
      </c>
      <c r="F753" s="2" t="s">
        <v>49</v>
      </c>
      <c r="G753" s="2">
        <f>91-124-4853300</f>
        <v>-4853333</v>
      </c>
      <c r="H753" s="2"/>
      <c r="I753" s="2"/>
      <c r="J753" s="2" t="s">
        <v>583</v>
      </c>
      <c r="K753" s="2"/>
      <c r="L753" s="2"/>
      <c r="M753" s="2"/>
      <c r="N753" s="2"/>
      <c r="O753" s="2"/>
      <c r="P753" s="2" t="s">
        <v>31</v>
      </c>
      <c r="Q753" s="4">
        <v>45982</v>
      </c>
      <c r="R753" s="2" t="s">
        <v>2955</v>
      </c>
      <c r="S753" s="2">
        <v>2</v>
      </c>
      <c r="T753" s="2" t="s">
        <v>2156</v>
      </c>
      <c r="U753" s="2" t="s">
        <v>34</v>
      </c>
    </row>
    <row r="754" spans="1:21" ht="105" x14ac:dyDescent="0.25">
      <c r="A754" s="2">
        <v>92</v>
      </c>
      <c r="B754" s="2" t="s">
        <v>2956</v>
      </c>
      <c r="C754" s="2" t="s">
        <v>623</v>
      </c>
      <c r="D754" s="2" t="s">
        <v>57</v>
      </c>
      <c r="E754" s="2" t="s">
        <v>558</v>
      </c>
      <c r="F754" s="2" t="s">
        <v>476</v>
      </c>
      <c r="G754" s="2">
        <f>91-542-2223456</f>
        <v>-2223907</v>
      </c>
      <c r="H754" s="2"/>
      <c r="I754" s="2"/>
      <c r="J754" s="2" t="s">
        <v>558</v>
      </c>
      <c r="K754" s="2"/>
      <c r="L754" s="2"/>
      <c r="M754" s="2"/>
      <c r="N754" s="2"/>
      <c r="O754" s="2"/>
      <c r="P754" s="2" t="s">
        <v>31</v>
      </c>
      <c r="Q754" s="4">
        <v>45982</v>
      </c>
      <c r="R754" s="2" t="s">
        <v>2957</v>
      </c>
      <c r="S754" s="2">
        <v>2</v>
      </c>
      <c r="T754" s="2" t="s">
        <v>2156</v>
      </c>
      <c r="U754" s="2" t="s">
        <v>34</v>
      </c>
    </row>
    <row r="755" spans="1:21" ht="75" x14ac:dyDescent="0.25">
      <c r="A755" s="2">
        <v>92</v>
      </c>
      <c r="B755" s="2" t="s">
        <v>2958</v>
      </c>
      <c r="C755" s="2" t="s">
        <v>623</v>
      </c>
      <c r="D755" s="2" t="s">
        <v>147</v>
      </c>
      <c r="E755" s="2" t="s">
        <v>148</v>
      </c>
      <c r="F755" s="2" t="s">
        <v>25</v>
      </c>
      <c r="G755" s="2">
        <f>91-33-22357788</f>
        <v>-22357730</v>
      </c>
      <c r="H755" s="2"/>
      <c r="I755" s="2"/>
      <c r="J755" s="2" t="s">
        <v>148</v>
      </c>
      <c r="K755" s="2"/>
      <c r="L755" s="2"/>
      <c r="M755" s="2"/>
      <c r="N755" s="2"/>
      <c r="O755" s="2"/>
      <c r="P755" s="2" t="s">
        <v>31</v>
      </c>
      <c r="Q755" s="4">
        <v>45982</v>
      </c>
      <c r="R755" s="2" t="s">
        <v>2959</v>
      </c>
      <c r="S755" s="2">
        <v>2</v>
      </c>
      <c r="T755" s="2" t="s">
        <v>2156</v>
      </c>
      <c r="U755" s="2" t="s">
        <v>34</v>
      </c>
    </row>
    <row r="756" spans="1:21" ht="45" x14ac:dyDescent="0.25">
      <c r="A756" s="1" t="s">
        <v>0</v>
      </c>
      <c r="B756" s="1" t="s">
        <v>1</v>
      </c>
      <c r="C756" s="1" t="s">
        <v>2</v>
      </c>
      <c r="D756" s="1" t="s">
        <v>3</v>
      </c>
      <c r="E756" s="1" t="s">
        <v>4</v>
      </c>
      <c r="F756" s="1" t="s">
        <v>5</v>
      </c>
      <c r="G756" s="1" t="s">
        <v>6</v>
      </c>
      <c r="H756" s="1" t="s">
        <v>7</v>
      </c>
      <c r="I756" s="1" t="s">
        <v>8</v>
      </c>
      <c r="J756" s="1" t="s">
        <v>9</v>
      </c>
      <c r="K756" s="1" t="s">
        <v>10</v>
      </c>
      <c r="L756" s="1" t="s">
        <v>11</v>
      </c>
      <c r="M756" s="1" t="s">
        <v>12</v>
      </c>
      <c r="N756" s="1" t="s">
        <v>13</v>
      </c>
      <c r="O756" s="1" t="s">
        <v>14</v>
      </c>
      <c r="P756" s="1" t="s">
        <v>15</v>
      </c>
      <c r="Q756" s="1" t="s">
        <v>16</v>
      </c>
      <c r="R756" s="1" t="s">
        <v>17</v>
      </c>
      <c r="S756" s="1" t="s">
        <v>18</v>
      </c>
      <c r="T756" s="1" t="s">
        <v>19</v>
      </c>
      <c r="U756" s="1" t="s">
        <v>20</v>
      </c>
    </row>
    <row r="757" spans="1:21" ht="165" x14ac:dyDescent="0.25">
      <c r="A757" s="2">
        <v>94</v>
      </c>
      <c r="B757" s="2" t="s">
        <v>2960</v>
      </c>
      <c r="C757" s="2" t="s">
        <v>22</v>
      </c>
      <c r="D757" s="2" t="s">
        <v>23</v>
      </c>
      <c r="E757" s="2" t="s">
        <v>24</v>
      </c>
      <c r="F757" s="2" t="s">
        <v>897</v>
      </c>
      <c r="G757" s="2">
        <f>91-11-26135256</f>
        <v>-26135176</v>
      </c>
      <c r="H757" s="3" t="s">
        <v>1020</v>
      </c>
      <c r="I757" s="3" t="s">
        <v>1021</v>
      </c>
      <c r="J757" s="2" t="s">
        <v>1744</v>
      </c>
      <c r="K757" s="2"/>
      <c r="L757" s="2"/>
      <c r="M757" s="2" t="s">
        <v>2961</v>
      </c>
      <c r="N757" s="2"/>
      <c r="O757" s="2"/>
      <c r="P757" s="2" t="s">
        <v>31</v>
      </c>
      <c r="Q757" s="4">
        <v>45982</v>
      </c>
      <c r="R757" s="2"/>
      <c r="S757" s="2">
        <v>2</v>
      </c>
      <c r="T757" s="2" t="s">
        <v>2190</v>
      </c>
      <c r="U757" s="2" t="s">
        <v>34</v>
      </c>
    </row>
    <row r="758" spans="1:21" ht="195" x14ac:dyDescent="0.25">
      <c r="A758" s="2">
        <v>94</v>
      </c>
      <c r="B758" s="2" t="s">
        <v>2962</v>
      </c>
      <c r="C758" s="2" t="s">
        <v>22</v>
      </c>
      <c r="D758" s="2" t="s">
        <v>970</v>
      </c>
      <c r="E758" s="2" t="s">
        <v>991</v>
      </c>
      <c r="F758" s="2" t="s">
        <v>25</v>
      </c>
      <c r="G758" s="2">
        <f>91-291-2744444</f>
        <v>-2744644</v>
      </c>
      <c r="H758" s="2"/>
      <c r="I758" s="2"/>
      <c r="J758" s="2" t="s">
        <v>991</v>
      </c>
      <c r="K758" s="2"/>
      <c r="L758" s="2"/>
      <c r="M758" s="2" t="s">
        <v>2963</v>
      </c>
      <c r="N758" s="2"/>
      <c r="O758" s="2"/>
      <c r="P758" s="2" t="s">
        <v>31</v>
      </c>
      <c r="Q758" s="4">
        <v>45982</v>
      </c>
      <c r="R758" s="2"/>
      <c r="S758" s="2">
        <v>2</v>
      </c>
      <c r="T758" s="2" t="s">
        <v>2190</v>
      </c>
      <c r="U758" s="2" t="s">
        <v>34</v>
      </c>
    </row>
    <row r="759" spans="1:21" ht="120" x14ac:dyDescent="0.25">
      <c r="A759" s="2">
        <v>94</v>
      </c>
      <c r="B759" s="2" t="s">
        <v>2964</v>
      </c>
      <c r="C759" s="2" t="s">
        <v>22</v>
      </c>
      <c r="D759" s="2" t="s">
        <v>970</v>
      </c>
      <c r="E759" s="2" t="s">
        <v>991</v>
      </c>
      <c r="F759" s="2" t="s">
        <v>476</v>
      </c>
      <c r="G759" s="2">
        <f>91-291-2744444</f>
        <v>-2744644</v>
      </c>
      <c r="H759" s="2"/>
      <c r="I759" s="2"/>
      <c r="J759" s="2" t="s">
        <v>991</v>
      </c>
      <c r="K759" s="2"/>
      <c r="L759" s="2"/>
      <c r="M759" s="2"/>
      <c r="N759" s="2"/>
      <c r="O759" s="2"/>
      <c r="P759" s="2" t="s">
        <v>31</v>
      </c>
      <c r="Q759" s="4">
        <v>45982</v>
      </c>
      <c r="R759" s="2" t="s">
        <v>2965</v>
      </c>
      <c r="S759" s="2">
        <v>2</v>
      </c>
      <c r="T759" s="2" t="s">
        <v>2190</v>
      </c>
      <c r="U759" s="2" t="s">
        <v>34</v>
      </c>
    </row>
    <row r="760" spans="1:21" ht="120" x14ac:dyDescent="0.25">
      <c r="A760" s="2">
        <v>94</v>
      </c>
      <c r="B760" s="2" t="s">
        <v>2966</v>
      </c>
      <c r="C760" s="2" t="s">
        <v>22</v>
      </c>
      <c r="D760" s="2" t="s">
        <v>970</v>
      </c>
      <c r="E760" s="2" t="s">
        <v>991</v>
      </c>
      <c r="F760" s="2" t="s">
        <v>476</v>
      </c>
      <c r="G760" s="2">
        <f>91-291-2634567</f>
        <v>-2634767</v>
      </c>
      <c r="H760" s="2"/>
      <c r="I760" s="2"/>
      <c r="J760" s="2" t="s">
        <v>991</v>
      </c>
      <c r="K760" s="2"/>
      <c r="L760" s="2"/>
      <c r="M760" s="2"/>
      <c r="N760" s="2"/>
      <c r="O760" s="2"/>
      <c r="P760" s="2" t="s">
        <v>31</v>
      </c>
      <c r="Q760" s="4">
        <v>45982</v>
      </c>
      <c r="R760" s="2" t="s">
        <v>2967</v>
      </c>
      <c r="S760" s="2">
        <v>2</v>
      </c>
      <c r="T760" s="2" t="s">
        <v>2190</v>
      </c>
      <c r="U760" s="2" t="s">
        <v>34</v>
      </c>
    </row>
    <row r="761" spans="1:21" ht="75" x14ac:dyDescent="0.25">
      <c r="A761" s="2">
        <v>94</v>
      </c>
      <c r="B761" s="2" t="s">
        <v>2968</v>
      </c>
      <c r="C761" s="2" t="s">
        <v>426</v>
      </c>
      <c r="D761" s="2" t="s">
        <v>57</v>
      </c>
      <c r="E761" s="2" t="s">
        <v>1835</v>
      </c>
      <c r="F761" s="2" t="s">
        <v>2621</v>
      </c>
      <c r="G761" s="2">
        <f>91-132-2767890</f>
        <v>-2767931</v>
      </c>
      <c r="H761" s="2"/>
      <c r="I761" s="2"/>
      <c r="J761" s="2" t="s">
        <v>1835</v>
      </c>
      <c r="K761" s="2"/>
      <c r="L761" s="2"/>
      <c r="M761" s="2"/>
      <c r="N761" s="2"/>
      <c r="O761" s="2"/>
      <c r="P761" s="2" t="s">
        <v>31</v>
      </c>
      <c r="Q761" s="4">
        <v>45982</v>
      </c>
      <c r="R761" s="2" t="s">
        <v>2969</v>
      </c>
      <c r="S761" s="2">
        <v>2</v>
      </c>
      <c r="T761" s="2" t="s">
        <v>2190</v>
      </c>
      <c r="U761" s="2" t="s">
        <v>34</v>
      </c>
    </row>
    <row r="762" spans="1:21" ht="120" x14ac:dyDescent="0.25">
      <c r="A762" s="2">
        <v>94</v>
      </c>
      <c r="B762" s="2" t="s">
        <v>2611</v>
      </c>
      <c r="C762" s="2" t="s">
        <v>119</v>
      </c>
      <c r="D762" s="2" t="s">
        <v>23</v>
      </c>
      <c r="E762" s="2" t="s">
        <v>24</v>
      </c>
      <c r="F762" s="2" t="s">
        <v>49</v>
      </c>
      <c r="G762" s="2">
        <f>91-11-26563500</f>
        <v>-26563420</v>
      </c>
      <c r="H762" s="3" t="s">
        <v>2612</v>
      </c>
      <c r="I762" s="3" t="s">
        <v>2613</v>
      </c>
      <c r="J762" s="2" t="s">
        <v>2970</v>
      </c>
      <c r="K762" s="2"/>
      <c r="L762" s="2"/>
      <c r="M762" s="2"/>
      <c r="N762" s="2"/>
      <c r="O762" s="2"/>
      <c r="P762" s="2" t="s">
        <v>31</v>
      </c>
      <c r="Q762" s="4">
        <v>45982</v>
      </c>
      <c r="R762" s="2" t="s">
        <v>2971</v>
      </c>
      <c r="S762" s="2">
        <v>2</v>
      </c>
      <c r="T762" s="2" t="s">
        <v>2190</v>
      </c>
      <c r="U762" s="2" t="s">
        <v>34</v>
      </c>
    </row>
    <row r="763" spans="1:21" ht="105" x14ac:dyDescent="0.25">
      <c r="A763" s="2">
        <v>94</v>
      </c>
      <c r="B763" s="2" t="s">
        <v>2972</v>
      </c>
      <c r="C763" s="2" t="s">
        <v>119</v>
      </c>
      <c r="D763" s="2" t="s">
        <v>970</v>
      </c>
      <c r="E763" s="2" t="s">
        <v>991</v>
      </c>
      <c r="F763" s="2" t="s">
        <v>49</v>
      </c>
      <c r="G763" s="2">
        <f>91-291-2744444</f>
        <v>-2744644</v>
      </c>
      <c r="H763" s="2"/>
      <c r="I763" s="2"/>
      <c r="J763" s="2" t="s">
        <v>991</v>
      </c>
      <c r="K763" s="2"/>
      <c r="L763" s="2"/>
      <c r="M763" s="2"/>
      <c r="N763" s="2"/>
      <c r="O763" s="2"/>
      <c r="P763" s="2" t="s">
        <v>31</v>
      </c>
      <c r="Q763" s="4">
        <v>45982</v>
      </c>
      <c r="R763" s="2" t="s">
        <v>2973</v>
      </c>
      <c r="S763" s="2">
        <v>2</v>
      </c>
      <c r="T763" s="2" t="s">
        <v>2190</v>
      </c>
      <c r="U763" s="2" t="s">
        <v>34</v>
      </c>
    </row>
    <row r="764" spans="1:21" ht="75" x14ac:dyDescent="0.25">
      <c r="A764" s="2">
        <v>94</v>
      </c>
      <c r="B764" s="2" t="s">
        <v>2974</v>
      </c>
      <c r="C764" s="2" t="s">
        <v>56</v>
      </c>
      <c r="D764" s="2" t="s">
        <v>36</v>
      </c>
      <c r="E764" s="2" t="s">
        <v>37</v>
      </c>
      <c r="F764" s="2" t="s">
        <v>1818</v>
      </c>
      <c r="G764" s="2">
        <f>91-22-67965656</f>
        <v>-67965587</v>
      </c>
      <c r="H764" s="3" t="s">
        <v>2975</v>
      </c>
      <c r="I764" s="3" t="s">
        <v>2976</v>
      </c>
      <c r="J764" s="2" t="s">
        <v>2977</v>
      </c>
      <c r="K764" s="2"/>
      <c r="L764" s="2"/>
      <c r="M764" s="2"/>
      <c r="N764" s="2"/>
      <c r="O764" s="2"/>
      <c r="P764" s="2" t="s">
        <v>31</v>
      </c>
      <c r="Q764" s="4">
        <v>45982</v>
      </c>
      <c r="R764" s="2" t="s">
        <v>2978</v>
      </c>
      <c r="S764" s="2">
        <v>2</v>
      </c>
      <c r="T764" s="2" t="s">
        <v>2190</v>
      </c>
      <c r="U764" s="2" t="s">
        <v>34</v>
      </c>
    </row>
    <row r="765" spans="1:21" ht="75" x14ac:dyDescent="0.25">
      <c r="A765" s="2">
        <v>94</v>
      </c>
      <c r="B765" s="2" t="s">
        <v>2979</v>
      </c>
      <c r="C765" s="2" t="s">
        <v>56</v>
      </c>
      <c r="D765" s="2" t="s">
        <v>36</v>
      </c>
      <c r="E765" s="2" t="s">
        <v>37</v>
      </c>
      <c r="F765" s="2" t="s">
        <v>59</v>
      </c>
      <c r="G765" s="2">
        <f>91-22-26818888</f>
        <v>-26818819</v>
      </c>
      <c r="H765" s="3" t="s">
        <v>2980</v>
      </c>
      <c r="I765" s="3" t="s">
        <v>2981</v>
      </c>
      <c r="J765" s="2" t="s">
        <v>2982</v>
      </c>
      <c r="K765" s="2"/>
      <c r="L765" s="2"/>
      <c r="M765" s="2"/>
      <c r="N765" s="2"/>
      <c r="O765" s="2"/>
      <c r="P765" s="2" t="s">
        <v>31</v>
      </c>
      <c r="Q765" s="4">
        <v>45982</v>
      </c>
      <c r="R765" s="2" t="s">
        <v>2983</v>
      </c>
      <c r="S765" s="2">
        <v>2</v>
      </c>
      <c r="T765" s="2" t="s">
        <v>2190</v>
      </c>
      <c r="U765" s="2" t="s">
        <v>34</v>
      </c>
    </row>
    <row r="766" spans="1:21" ht="75" x14ac:dyDescent="0.25">
      <c r="A766" s="2">
        <v>94</v>
      </c>
      <c r="B766" s="2" t="s">
        <v>2984</v>
      </c>
      <c r="C766" s="2" t="s">
        <v>56</v>
      </c>
      <c r="D766" s="2" t="s">
        <v>306</v>
      </c>
      <c r="E766" s="2" t="s">
        <v>307</v>
      </c>
      <c r="F766" s="2" t="s">
        <v>49</v>
      </c>
      <c r="G766" s="2">
        <f>91-832-6693000</f>
        <v>-6693741</v>
      </c>
      <c r="H766" s="3" t="s">
        <v>2985</v>
      </c>
      <c r="I766" s="3" t="s">
        <v>2986</v>
      </c>
      <c r="J766" s="2" t="s">
        <v>2987</v>
      </c>
      <c r="K766" s="2"/>
      <c r="L766" s="2"/>
      <c r="M766" s="2"/>
      <c r="N766" s="2"/>
      <c r="O766" s="2"/>
      <c r="P766" s="2" t="s">
        <v>31</v>
      </c>
      <c r="Q766" s="4">
        <v>45982</v>
      </c>
      <c r="R766" s="2" t="s">
        <v>2988</v>
      </c>
      <c r="S766" s="2">
        <v>2</v>
      </c>
      <c r="T766" s="2" t="s">
        <v>2190</v>
      </c>
      <c r="U766" s="2" t="s">
        <v>34</v>
      </c>
    </row>
    <row r="767" spans="1:21" ht="75" x14ac:dyDescent="0.25">
      <c r="A767" s="2">
        <v>94</v>
      </c>
      <c r="B767" s="2" t="s">
        <v>2989</v>
      </c>
      <c r="C767" s="2" t="s">
        <v>56</v>
      </c>
      <c r="D767" s="2" t="s">
        <v>970</v>
      </c>
      <c r="E767" s="2" t="s">
        <v>991</v>
      </c>
      <c r="F767" s="2" t="s">
        <v>49</v>
      </c>
      <c r="G767" s="2">
        <f>91-291-2744444</f>
        <v>-2744644</v>
      </c>
      <c r="H767" s="2"/>
      <c r="I767" s="2"/>
      <c r="J767" s="2" t="s">
        <v>991</v>
      </c>
      <c r="K767" s="2"/>
      <c r="L767" s="2"/>
      <c r="M767" s="2"/>
      <c r="N767" s="2"/>
      <c r="O767" s="2"/>
      <c r="P767" s="2" t="s">
        <v>31</v>
      </c>
      <c r="Q767" s="4">
        <v>45982</v>
      </c>
      <c r="R767" s="2" t="s">
        <v>2990</v>
      </c>
      <c r="S767" s="2">
        <v>2</v>
      </c>
      <c r="T767" s="2" t="s">
        <v>2190</v>
      </c>
      <c r="U767" s="2" t="s">
        <v>34</v>
      </c>
    </row>
    <row r="768" spans="1:21" ht="75" x14ac:dyDescent="0.25">
      <c r="A768" s="2">
        <v>94</v>
      </c>
      <c r="B768" s="2" t="s">
        <v>2991</v>
      </c>
      <c r="C768" s="2" t="s">
        <v>56</v>
      </c>
      <c r="D768" s="2" t="s">
        <v>57</v>
      </c>
      <c r="E768" s="2" t="s">
        <v>1835</v>
      </c>
      <c r="F768" s="2" t="s">
        <v>49</v>
      </c>
      <c r="G768" s="2">
        <f>91-132-2767890</f>
        <v>-2767931</v>
      </c>
      <c r="H768" s="2"/>
      <c r="I768" s="2"/>
      <c r="J768" s="2" t="s">
        <v>1835</v>
      </c>
      <c r="K768" s="2"/>
      <c r="L768" s="2"/>
      <c r="M768" s="2"/>
      <c r="N768" s="2"/>
      <c r="O768" s="2"/>
      <c r="P768" s="2" t="s">
        <v>31</v>
      </c>
      <c r="Q768" s="4">
        <v>45982</v>
      </c>
      <c r="R768" s="2" t="s">
        <v>2992</v>
      </c>
      <c r="S768" s="2">
        <v>2</v>
      </c>
      <c r="T768" s="2" t="s">
        <v>2190</v>
      </c>
      <c r="U768" s="2" t="s">
        <v>34</v>
      </c>
    </row>
    <row r="769" spans="1:21" ht="120" x14ac:dyDescent="0.25">
      <c r="A769" s="2">
        <v>94</v>
      </c>
      <c r="B769" s="2" t="s">
        <v>2993</v>
      </c>
      <c r="C769" s="2" t="s">
        <v>623</v>
      </c>
      <c r="D769" s="2" t="s">
        <v>970</v>
      </c>
      <c r="E769" s="2" t="s">
        <v>991</v>
      </c>
      <c r="F769" s="2" t="s">
        <v>476</v>
      </c>
      <c r="G769" s="2">
        <f>91-291-2745555</f>
        <v>-2745755</v>
      </c>
      <c r="H769" s="2"/>
      <c r="I769" s="2"/>
      <c r="J769" s="2" t="s">
        <v>991</v>
      </c>
      <c r="K769" s="2"/>
      <c r="L769" s="2"/>
      <c r="M769" s="2"/>
      <c r="N769" s="2"/>
      <c r="O769" s="2"/>
      <c r="P769" s="2" t="s">
        <v>31</v>
      </c>
      <c r="Q769" s="4">
        <v>45982</v>
      </c>
      <c r="R769" s="2" t="s">
        <v>2994</v>
      </c>
      <c r="S769" s="2">
        <v>2</v>
      </c>
      <c r="T769" s="2" t="s">
        <v>2190</v>
      </c>
      <c r="U769" s="2" t="s">
        <v>34</v>
      </c>
    </row>
    <row r="770" spans="1:21" ht="75" x14ac:dyDescent="0.25">
      <c r="A770" s="2">
        <v>94</v>
      </c>
      <c r="B770" s="2" t="s">
        <v>2995</v>
      </c>
      <c r="C770" s="2" t="s">
        <v>623</v>
      </c>
      <c r="D770" s="2" t="s">
        <v>57</v>
      </c>
      <c r="E770" s="2" t="s">
        <v>1835</v>
      </c>
      <c r="F770" s="2" t="s">
        <v>25</v>
      </c>
      <c r="G770" s="2">
        <f>91-132-2767890</f>
        <v>-2767931</v>
      </c>
      <c r="H770" s="2"/>
      <c r="I770" s="2"/>
      <c r="J770" s="2" t="s">
        <v>1835</v>
      </c>
      <c r="K770" s="2"/>
      <c r="L770" s="2"/>
      <c r="M770" s="2"/>
      <c r="N770" s="2"/>
      <c r="O770" s="2"/>
      <c r="P770" s="2" t="s">
        <v>31</v>
      </c>
      <c r="Q770" s="4">
        <v>45982</v>
      </c>
      <c r="R770" s="2" t="s">
        <v>2996</v>
      </c>
      <c r="S770" s="2">
        <v>2</v>
      </c>
      <c r="T770" s="2" t="s">
        <v>2190</v>
      </c>
      <c r="U770" s="2" t="s">
        <v>34</v>
      </c>
    </row>
    <row r="771" spans="1:21" ht="45" x14ac:dyDescent="0.25">
      <c r="A771" s="1" t="s">
        <v>0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5</v>
      </c>
      <c r="G771" s="1" t="s">
        <v>6</v>
      </c>
      <c r="H771" s="1" t="s">
        <v>7</v>
      </c>
      <c r="I771" s="1" t="s">
        <v>8</v>
      </c>
      <c r="J771" s="1" t="s">
        <v>9</v>
      </c>
      <c r="K771" s="1" t="s">
        <v>10</v>
      </c>
      <c r="L771" s="1" t="s">
        <v>11</v>
      </c>
      <c r="M771" s="1" t="s">
        <v>12</v>
      </c>
      <c r="N771" s="1" t="s">
        <v>13</v>
      </c>
      <c r="O771" s="1" t="s">
        <v>14</v>
      </c>
      <c r="P771" s="1" t="s">
        <v>15</v>
      </c>
      <c r="Q771" s="1" t="s">
        <v>16</v>
      </c>
      <c r="R771" s="1" t="s">
        <v>17</v>
      </c>
      <c r="S771" s="1" t="s">
        <v>18</v>
      </c>
      <c r="T771" s="1" t="s">
        <v>19</v>
      </c>
      <c r="U771" s="1" t="s">
        <v>20</v>
      </c>
    </row>
    <row r="772" spans="1:21" ht="150" x14ac:dyDescent="0.25">
      <c r="A772" s="2">
        <v>95</v>
      </c>
      <c r="B772" s="2" t="s">
        <v>1019</v>
      </c>
      <c r="C772" s="2" t="s">
        <v>22</v>
      </c>
      <c r="D772" s="2" t="s">
        <v>23</v>
      </c>
      <c r="E772" s="2" t="s">
        <v>24</v>
      </c>
      <c r="F772" s="2" t="s">
        <v>897</v>
      </c>
      <c r="G772" s="2">
        <f>91-11-26135256</f>
        <v>-26135176</v>
      </c>
      <c r="H772" s="3" t="s">
        <v>1020</v>
      </c>
      <c r="I772" s="3" t="s">
        <v>1021</v>
      </c>
      <c r="J772" s="2" t="s">
        <v>1744</v>
      </c>
      <c r="K772" s="2"/>
      <c r="L772" s="2"/>
      <c r="M772" s="2" t="s">
        <v>2997</v>
      </c>
      <c r="N772" s="2"/>
      <c r="O772" s="2"/>
      <c r="P772" s="2" t="s">
        <v>31</v>
      </c>
      <c r="Q772" s="4">
        <v>45982</v>
      </c>
      <c r="R772" s="2"/>
      <c r="S772" s="2">
        <v>2</v>
      </c>
      <c r="T772" s="2" t="s">
        <v>2235</v>
      </c>
      <c r="U772" s="2" t="s">
        <v>34</v>
      </c>
    </row>
    <row r="773" spans="1:21" ht="105" x14ac:dyDescent="0.25">
      <c r="A773" s="2">
        <v>95</v>
      </c>
      <c r="B773" s="2" t="s">
        <v>2998</v>
      </c>
      <c r="C773" s="2" t="s">
        <v>22</v>
      </c>
      <c r="D773" s="2" t="s">
        <v>36</v>
      </c>
      <c r="E773" s="2" t="s">
        <v>37</v>
      </c>
      <c r="F773" s="2" t="s">
        <v>476</v>
      </c>
      <c r="G773" s="2">
        <f>91-22-49741847</f>
        <v>-49741778</v>
      </c>
      <c r="H773" s="3" t="s">
        <v>2999</v>
      </c>
      <c r="I773" s="3" t="s">
        <v>3000</v>
      </c>
      <c r="J773" s="2" t="s">
        <v>3001</v>
      </c>
      <c r="K773" s="2"/>
      <c r="L773" s="2"/>
      <c r="M773" s="2"/>
      <c r="N773" s="2"/>
      <c r="O773" s="2"/>
      <c r="P773" s="2" t="s">
        <v>31</v>
      </c>
      <c r="Q773" s="4">
        <v>45982</v>
      </c>
      <c r="R773" s="2" t="s">
        <v>3002</v>
      </c>
      <c r="S773" s="2">
        <v>2</v>
      </c>
      <c r="T773" s="2" t="s">
        <v>2235</v>
      </c>
      <c r="U773" s="2" t="s">
        <v>34</v>
      </c>
    </row>
    <row r="774" spans="1:21" ht="105" x14ac:dyDescent="0.25">
      <c r="A774" s="2">
        <v>95</v>
      </c>
      <c r="B774" s="2" t="s">
        <v>3003</v>
      </c>
      <c r="C774" s="2" t="s">
        <v>22</v>
      </c>
      <c r="D774" s="2" t="s">
        <v>57</v>
      </c>
      <c r="E774" s="2" t="s">
        <v>82</v>
      </c>
      <c r="F774" s="2" t="s">
        <v>25</v>
      </c>
      <c r="G774" s="2">
        <f>91-121-2510000</f>
        <v>-2510030</v>
      </c>
      <c r="H774" s="3" t="s">
        <v>3004</v>
      </c>
      <c r="I774" s="3" t="s">
        <v>3005</v>
      </c>
      <c r="J774" s="2" t="s">
        <v>3006</v>
      </c>
      <c r="K774" s="2"/>
      <c r="L774" s="2"/>
      <c r="M774" s="2" t="s">
        <v>3007</v>
      </c>
      <c r="N774" s="2"/>
      <c r="O774" s="2"/>
      <c r="P774" s="2" t="s">
        <v>31</v>
      </c>
      <c r="Q774" s="4">
        <v>45982</v>
      </c>
      <c r="R774" s="2"/>
      <c r="S774" s="2">
        <v>2</v>
      </c>
      <c r="T774" s="2" t="s">
        <v>2235</v>
      </c>
      <c r="U774" s="2" t="s">
        <v>34</v>
      </c>
    </row>
    <row r="775" spans="1:21" ht="105" x14ac:dyDescent="0.25">
      <c r="A775" s="2">
        <v>95</v>
      </c>
      <c r="B775" s="2" t="s">
        <v>3008</v>
      </c>
      <c r="C775" s="2" t="s">
        <v>22</v>
      </c>
      <c r="D775" s="2" t="s">
        <v>23</v>
      </c>
      <c r="E775" s="2" t="s">
        <v>24</v>
      </c>
      <c r="F775" s="2" t="s">
        <v>476</v>
      </c>
      <c r="G775" s="2">
        <f>91-11-41616777</f>
        <v>-41616697</v>
      </c>
      <c r="H775" s="2"/>
      <c r="I775" s="2"/>
      <c r="J775" s="2" t="s">
        <v>3009</v>
      </c>
      <c r="K775" s="2"/>
      <c r="L775" s="2"/>
      <c r="M775" s="2"/>
      <c r="N775" s="2"/>
      <c r="O775" s="2"/>
      <c r="P775" s="2" t="s">
        <v>31</v>
      </c>
      <c r="Q775" s="4">
        <v>45982</v>
      </c>
      <c r="R775" s="2" t="s">
        <v>3010</v>
      </c>
      <c r="S775" s="2">
        <v>2</v>
      </c>
      <c r="T775" s="2" t="s">
        <v>2235</v>
      </c>
      <c r="U775" s="2" t="s">
        <v>34</v>
      </c>
    </row>
    <row r="776" spans="1:21" ht="120" x14ac:dyDescent="0.25">
      <c r="A776" s="2">
        <v>95</v>
      </c>
      <c r="B776" s="2" t="s">
        <v>3011</v>
      </c>
      <c r="C776" s="2" t="s">
        <v>119</v>
      </c>
      <c r="D776" s="2" t="s">
        <v>36</v>
      </c>
      <c r="E776" s="2" t="s">
        <v>37</v>
      </c>
      <c r="F776" s="2" t="s">
        <v>49</v>
      </c>
      <c r="G776" s="2">
        <f>91-22-25722545</f>
        <v>-25722476</v>
      </c>
      <c r="H776" s="2"/>
      <c r="I776" s="2"/>
      <c r="J776" s="2" t="s">
        <v>3012</v>
      </c>
      <c r="K776" s="2"/>
      <c r="L776" s="2"/>
      <c r="M776" s="2"/>
      <c r="N776" s="2"/>
      <c r="O776" s="2"/>
      <c r="P776" s="2" t="s">
        <v>31</v>
      </c>
      <c r="Q776" s="4">
        <v>45982</v>
      </c>
      <c r="R776" s="2" t="s">
        <v>3013</v>
      </c>
      <c r="S776" s="2">
        <v>2</v>
      </c>
      <c r="T776" s="2" t="s">
        <v>2235</v>
      </c>
      <c r="U776" s="2" t="s">
        <v>34</v>
      </c>
    </row>
    <row r="777" spans="1:21" ht="75" x14ac:dyDescent="0.25">
      <c r="A777" s="2">
        <v>95</v>
      </c>
      <c r="B777" s="2" t="s">
        <v>3014</v>
      </c>
      <c r="C777" s="2" t="s">
        <v>426</v>
      </c>
      <c r="D777" s="2" t="s">
        <v>57</v>
      </c>
      <c r="E777" s="2" t="s">
        <v>2461</v>
      </c>
      <c r="F777" s="2" t="s">
        <v>2621</v>
      </c>
      <c r="G777" s="2">
        <f>91-120-4512345</f>
        <v>-4512374</v>
      </c>
      <c r="H777" s="2"/>
      <c r="I777" s="2"/>
      <c r="J777" s="2" t="s">
        <v>3015</v>
      </c>
      <c r="K777" s="2"/>
      <c r="L777" s="2"/>
      <c r="M777" s="2"/>
      <c r="N777" s="2"/>
      <c r="O777" s="2"/>
      <c r="P777" s="2" t="s">
        <v>31</v>
      </c>
      <c r="Q777" s="4">
        <v>45982</v>
      </c>
      <c r="R777" s="2" t="s">
        <v>3016</v>
      </c>
      <c r="S777" s="2">
        <v>2</v>
      </c>
      <c r="T777" s="2" t="s">
        <v>2235</v>
      </c>
      <c r="U777" s="2" t="s">
        <v>34</v>
      </c>
    </row>
    <row r="778" spans="1:21" ht="105" x14ac:dyDescent="0.25">
      <c r="A778" s="2">
        <v>95</v>
      </c>
      <c r="B778" s="2" t="s">
        <v>3017</v>
      </c>
      <c r="C778" s="2" t="s">
        <v>426</v>
      </c>
      <c r="D778" s="2" t="s">
        <v>57</v>
      </c>
      <c r="E778" s="2" t="s">
        <v>82</v>
      </c>
      <c r="F778" s="2" t="s">
        <v>476</v>
      </c>
      <c r="G778" s="2">
        <f>91-121-2510000</f>
        <v>-2510030</v>
      </c>
      <c r="H778" s="2"/>
      <c r="I778" s="2"/>
      <c r="J778" s="2" t="s">
        <v>82</v>
      </c>
      <c r="K778" s="2"/>
      <c r="L778" s="2"/>
      <c r="M778" s="2"/>
      <c r="N778" s="2"/>
      <c r="O778" s="2"/>
      <c r="P778" s="2" t="s">
        <v>31</v>
      </c>
      <c r="Q778" s="4">
        <v>45982</v>
      </c>
      <c r="R778" s="2" t="s">
        <v>3018</v>
      </c>
      <c r="S778" s="2">
        <v>2</v>
      </c>
      <c r="T778" s="2" t="s">
        <v>2235</v>
      </c>
      <c r="U778" s="2" t="s">
        <v>34</v>
      </c>
    </row>
    <row r="779" spans="1:21" ht="60" x14ac:dyDescent="0.25">
      <c r="A779" s="2">
        <v>95</v>
      </c>
      <c r="B779" s="2" t="s">
        <v>3019</v>
      </c>
      <c r="C779" s="2" t="s">
        <v>56</v>
      </c>
      <c r="D779" s="2" t="s">
        <v>23</v>
      </c>
      <c r="E779" s="2" t="s">
        <v>24</v>
      </c>
      <c r="F779" s="2" t="s">
        <v>59</v>
      </c>
      <c r="G779" s="2">
        <f>91-11-41000000</f>
        <v>-40999920</v>
      </c>
      <c r="H779" s="2"/>
      <c r="I779" s="2"/>
      <c r="J779" s="2" t="s">
        <v>3020</v>
      </c>
      <c r="K779" s="2"/>
      <c r="L779" s="2"/>
      <c r="M779" s="2"/>
      <c r="N779" s="2"/>
      <c r="O779" s="2"/>
      <c r="P779" s="2" t="s">
        <v>31</v>
      </c>
      <c r="Q779" s="4">
        <v>45982</v>
      </c>
      <c r="R779" s="2" t="s">
        <v>3021</v>
      </c>
      <c r="S779" s="2">
        <v>2</v>
      </c>
      <c r="T779" s="2" t="s">
        <v>2235</v>
      </c>
      <c r="U779" s="2" t="s">
        <v>34</v>
      </c>
    </row>
    <row r="780" spans="1:21" ht="105" x14ac:dyDescent="0.25">
      <c r="A780" s="2">
        <v>95</v>
      </c>
      <c r="B780" s="2" t="s">
        <v>3022</v>
      </c>
      <c r="C780" s="2" t="s">
        <v>56</v>
      </c>
      <c r="D780" s="2" t="s">
        <v>970</v>
      </c>
      <c r="E780" s="2" t="s">
        <v>1995</v>
      </c>
      <c r="F780" s="2" t="s">
        <v>49</v>
      </c>
      <c r="G780" s="2">
        <f>91-141-2573895</f>
        <v>-2573945</v>
      </c>
      <c r="H780" s="2"/>
      <c r="I780" s="2"/>
      <c r="J780" s="2" t="s">
        <v>1995</v>
      </c>
      <c r="K780" s="2"/>
      <c r="L780" s="2"/>
      <c r="M780" s="2"/>
      <c r="N780" s="2"/>
      <c r="O780" s="2"/>
      <c r="P780" s="2" t="s">
        <v>31</v>
      </c>
      <c r="Q780" s="4">
        <v>45982</v>
      </c>
      <c r="R780" s="2" t="s">
        <v>3023</v>
      </c>
      <c r="S780" s="2">
        <v>2</v>
      </c>
      <c r="T780" s="2" t="s">
        <v>2235</v>
      </c>
      <c r="U780" s="2" t="s">
        <v>34</v>
      </c>
    </row>
    <row r="781" spans="1:21" ht="60" x14ac:dyDescent="0.25">
      <c r="A781" s="2">
        <v>95</v>
      </c>
      <c r="B781" s="2" t="s">
        <v>3024</v>
      </c>
      <c r="C781" s="2" t="s">
        <v>56</v>
      </c>
      <c r="D781" s="2" t="s">
        <v>57</v>
      </c>
      <c r="E781" s="2" t="s">
        <v>82</v>
      </c>
      <c r="F781" s="2" t="s">
        <v>49</v>
      </c>
      <c r="G781" s="2">
        <f>91-121-2512345</f>
        <v>-2512375</v>
      </c>
      <c r="H781" s="2"/>
      <c r="I781" s="2"/>
      <c r="J781" s="2" t="s">
        <v>82</v>
      </c>
      <c r="K781" s="2"/>
      <c r="L781" s="2"/>
      <c r="M781" s="2"/>
      <c r="N781" s="2"/>
      <c r="O781" s="2"/>
      <c r="P781" s="2" t="s">
        <v>31</v>
      </c>
      <c r="Q781" s="4">
        <v>45982</v>
      </c>
      <c r="R781" s="2" t="s">
        <v>3025</v>
      </c>
      <c r="S781" s="2">
        <v>2</v>
      </c>
      <c r="T781" s="2" t="s">
        <v>2235</v>
      </c>
      <c r="U781" s="2" t="s">
        <v>34</v>
      </c>
    </row>
    <row r="782" spans="1:21" ht="60" x14ac:dyDescent="0.25">
      <c r="A782" s="2">
        <v>95</v>
      </c>
      <c r="B782" s="2" t="s">
        <v>3026</v>
      </c>
      <c r="C782" s="2" t="s">
        <v>56</v>
      </c>
      <c r="D782" s="2" t="s">
        <v>23</v>
      </c>
      <c r="E782" s="2" t="s">
        <v>24</v>
      </c>
      <c r="F782" s="2" t="s">
        <v>49</v>
      </c>
      <c r="G782" s="2">
        <f>91-11-41000000</f>
        <v>-40999920</v>
      </c>
      <c r="H782" s="2"/>
      <c r="I782" s="2"/>
      <c r="J782" s="2" t="s">
        <v>3027</v>
      </c>
      <c r="K782" s="2"/>
      <c r="L782" s="2"/>
      <c r="M782" s="2"/>
      <c r="N782" s="2"/>
      <c r="O782" s="2"/>
      <c r="P782" s="2" t="s">
        <v>31</v>
      </c>
      <c r="Q782" s="4">
        <v>45982</v>
      </c>
      <c r="R782" s="2" t="s">
        <v>3028</v>
      </c>
      <c r="S782" s="2">
        <v>2</v>
      </c>
      <c r="T782" s="2" t="s">
        <v>2235</v>
      </c>
      <c r="U782" s="2" t="s">
        <v>34</v>
      </c>
    </row>
    <row r="783" spans="1:21" ht="75" x14ac:dyDescent="0.25">
      <c r="A783" s="2">
        <v>95</v>
      </c>
      <c r="B783" s="2" t="s">
        <v>3029</v>
      </c>
      <c r="C783" s="2" t="s">
        <v>623</v>
      </c>
      <c r="D783" s="2" t="s">
        <v>57</v>
      </c>
      <c r="E783" s="2" t="s">
        <v>2461</v>
      </c>
      <c r="F783" s="2" t="s">
        <v>476</v>
      </c>
      <c r="G783" s="2">
        <f>91-120-4512345</f>
        <v>-4512374</v>
      </c>
      <c r="H783" s="2"/>
      <c r="I783" s="2"/>
      <c r="J783" s="2" t="s">
        <v>1912</v>
      </c>
      <c r="K783" s="2"/>
      <c r="L783" s="2"/>
      <c r="M783" s="2"/>
      <c r="N783" s="2"/>
      <c r="O783" s="2"/>
      <c r="P783" s="2" t="s">
        <v>31</v>
      </c>
      <c r="Q783" s="4">
        <v>45982</v>
      </c>
      <c r="R783" s="2" t="s">
        <v>3030</v>
      </c>
      <c r="S783" s="2">
        <v>2</v>
      </c>
      <c r="T783" s="2" t="s">
        <v>2235</v>
      </c>
      <c r="U783" s="2" t="s">
        <v>34</v>
      </c>
    </row>
    <row r="784" spans="1:21" ht="75" x14ac:dyDescent="0.25">
      <c r="A784" s="2">
        <v>95</v>
      </c>
      <c r="B784" s="2" t="s">
        <v>3031</v>
      </c>
      <c r="C784" s="2" t="s">
        <v>623</v>
      </c>
      <c r="D784" s="2" t="s">
        <v>57</v>
      </c>
      <c r="E784" s="2" t="s">
        <v>82</v>
      </c>
      <c r="F784" s="2" t="s">
        <v>25</v>
      </c>
      <c r="G784" s="2">
        <f>91-121-2523456</f>
        <v>-2523486</v>
      </c>
      <c r="H784" s="2"/>
      <c r="I784" s="2"/>
      <c r="J784" s="2" t="s">
        <v>82</v>
      </c>
      <c r="K784" s="2"/>
      <c r="L784" s="2"/>
      <c r="M784" s="2"/>
      <c r="N784" s="2"/>
      <c r="O784" s="2"/>
      <c r="P784" s="2" t="s">
        <v>31</v>
      </c>
      <c r="Q784" s="4">
        <v>45982</v>
      </c>
      <c r="R784" s="2" t="s">
        <v>3032</v>
      </c>
      <c r="S784" s="2">
        <v>2</v>
      </c>
      <c r="T784" s="2" t="s">
        <v>2235</v>
      </c>
      <c r="U784" s="2" t="s">
        <v>34</v>
      </c>
    </row>
  </sheetData>
  <autoFilter ref="A1:U784" xr:uid="{00000000-0001-0000-0000-000000000000}"/>
  <hyperlinks>
    <hyperlink ref="H4" r:id="rId1" display="mailto:apeda-mumbai@apeda.gov.in" xr:uid="{C7EF5EDE-63C6-4066-B61B-4A5AE87E1E54}"/>
    <hyperlink ref="I4" r:id="rId2" display="https://apeda.gov.in/" xr:uid="{DB5B2A90-9129-4FAD-A109-EA0C3116C376}"/>
    <hyperlink ref="H5" r:id="rId3" display="mailto:apeda-hyd@apeda.gov.in" xr:uid="{9F0C0BD7-A5F1-45F3-BE26-548391589695}"/>
    <hyperlink ref="I5" r:id="rId4" display="https://apeda.gov.in/" xr:uid="{CE2B1ED4-E377-4238-A048-528451634705}"/>
    <hyperlink ref="H6" r:id="rId5" display="mailto:eic@eicindia.gov.in" xr:uid="{7F6B2809-4124-4F90-9034-E233CAADB0B2}"/>
    <hyperlink ref="I6" r:id="rId6" display="https://eicindia.gov.in/" xr:uid="{96C44744-5A68-403E-938B-345032FA9E7A}"/>
    <hyperlink ref="H7" r:id="rId7" display="mailto:info@allanasons.com" xr:uid="{1B763893-645B-41D1-B88B-D84CE2D9F744}"/>
    <hyperlink ref="I7" r:id="rId8" display="https://allanasons.com/" xr:uid="{76430E2C-EECE-41CB-8194-01EE2FCFB36B}"/>
    <hyperlink ref="H8" r:id="rId9" display="mailto:info@alkabeer.com" xr:uid="{6C378A51-046B-481E-A0C2-F3C554176065}"/>
    <hyperlink ref="I8" r:id="rId10" display="https://alkabeer.com/" xr:uid="{93603C05-72EF-4B7B-804C-99BD1E4C8BAC}"/>
    <hyperlink ref="H9" r:id="rId11" display="mailto:info@mkrindia.com" xr:uid="{DB3ED296-9896-44EE-A372-4A9B64053164}"/>
    <hyperlink ref="I9" r:id="rId12" display="https://mkrindia.com/" xr:uid="{66FF9F90-9E8B-4872-A59B-81A79DA55558}"/>
    <hyperlink ref="I10" r:id="rId13" display="https://allanasons.com/" xr:uid="{F43AAE57-74D2-4873-B52A-C5773526D58B}"/>
    <hyperlink ref="H11" r:id="rId14" display="mailto:info@arabianexports.com" xr:uid="{A68CE93D-401F-488B-96C7-1483AE291D92}"/>
    <hyperlink ref="H12" r:id="rId15" display="mailto:info@hindagro.com" xr:uid="{864AAC14-D48A-40F8-BBF9-D525D49A726E}"/>
    <hyperlink ref="I12" r:id="rId16" display="https://hindagro.com/" xr:uid="{90DAD38E-2805-4734-9A01-5A82BA1B2F33}"/>
    <hyperlink ref="I13" r:id="rId17" display="https://alnoorexports.com/" xr:uid="{581917F9-E0A8-43DC-ACDB-D510FF193526}"/>
    <hyperlink ref="H14" r:id="rId18" display="mailto:info@venkys.com" xr:uid="{A492DD53-6C6E-421B-9033-AA544713DCA6}"/>
    <hyperlink ref="I14" r:id="rId19" display="https://venkys.com/" xr:uid="{AA2ECBA5-A221-4195-B4C4-999D8D88FA16}"/>
    <hyperlink ref="H15" r:id="rId20" display="mailto:info@sugunafoods.com" xr:uid="{A2E2F286-5621-403E-91AF-0941C0DA27A6}"/>
    <hyperlink ref="I15" r:id="rId21" display="https://sugunafoods.com/" xr:uid="{25F12344-195D-4AA2-889E-DFFBB596BA9D}"/>
    <hyperlink ref="I16" r:id="rId22" display="https://venkys.com/" xr:uid="{56A758FD-B365-45EA-B23F-5036CBB8FEDF}"/>
    <hyperlink ref="H17" r:id="rId23" display="mailto:ceo.nmppb@nic.in" xr:uid="{91F6A403-B04B-49A4-A403-448771FFEC4E}"/>
    <hyperlink ref="H18" r:id="rId24" display="mailto:director.nrcmeat@icar.gov.in" xr:uid="{9DCB5E52-6E83-4AD0-87E8-CACE04042041}"/>
    <hyperlink ref="I18" r:id="rId25" display="https://nrcmeat.icar.gov.in/" xr:uid="{A1A6F16F-764F-4D00-AB6B-F9347F24A59E}"/>
    <hyperlink ref="H20" r:id="rId26" display="mailto:chairperson@mpeda.gov.in" xr:uid="{19271A7A-EC7D-4DA6-9151-11840ABBD36E}"/>
    <hyperlink ref="I20" r:id="rId27" display="https://mpeda.gov.in/" xr:uid="{6B2619A9-F9C1-4DF6-8A5C-4224479D49B9}"/>
    <hyperlink ref="H21" r:id="rId28" display="mailto:mpeda.vijayawada@mpeda.gov.in" xr:uid="{372729F0-6F92-47CC-943A-85A15987D730}"/>
    <hyperlink ref="I21" r:id="rId29" display="https://mpeda.gov.in/" xr:uid="{65F07F47-9D3E-42C9-BF59-416AEE442438}"/>
    <hyperlink ref="H22" r:id="rId30" display="mailto:mpeda.bhubaneswar@mpeda.gov.in" xr:uid="{3C120740-4EFF-447B-8F26-2BAC0AABED55}"/>
    <hyperlink ref="I22" r:id="rId31" display="https://mpeda.gov.in/" xr:uid="{C84A40F1-3D7A-460A-B363-B29314DFFFE2}"/>
    <hyperlink ref="H23" r:id="rId32" display="mailto:mpeda.kolkata@mpeda.gov.in" xr:uid="{8E6F8E75-6F88-473D-B26F-261C953771DA}"/>
    <hyperlink ref="I23" r:id="rId33" display="https://mpeda.gov.in/" xr:uid="{18FA6B40-9F6B-47E4-86C5-85CA71E84BD0}"/>
    <hyperlink ref="I24" r:id="rId34" display="https://mpeda.gov.in/" xr:uid="{4CFA150E-8C73-4A2F-823C-B2E10EED851D}"/>
    <hyperlink ref="H25" r:id="rId35" display="mailto:mpeda.chennai@mpeda.gov.in" xr:uid="{5D6491AC-EEA1-495C-A57F-397A9AD72F88}"/>
    <hyperlink ref="I25" r:id="rId36" display="https://mpeda.gov.in/" xr:uid="{C6CDAA34-3511-4A70-A37E-CC548B424FBF}"/>
    <hyperlink ref="H26" r:id="rId37" display="mailto:eic-kochi@eicindia.gov.in" xr:uid="{8A8839AC-7C0D-4CE7-AF34-B42C80642AEA}"/>
    <hyperlink ref="I26" r:id="rId38" display="https://eicindia.gov.in/" xr:uid="{D7821C0D-90AF-45D9-8D19-0A7EE6206D3B}"/>
    <hyperlink ref="H27" r:id="rId39" display="mailto:info.nfdb@nic.in" xr:uid="{A367F89D-DF32-4324-AE64-3618BEAF1BFA}"/>
    <hyperlink ref="I27" r:id="rId40" display="https://nfdb.gov.in/" xr:uid="{00A58AAE-7CDB-4C45-B3E8-CA4CFFD7A9A0}"/>
    <hyperlink ref="H28" r:id="rId41" display="mailto:director.cift@icar.gov.in" xr:uid="{E712EB2E-4A41-4B4D-9DC0-94FB6549090C}"/>
    <hyperlink ref="I28" r:id="rId42" display="https://cift.icar.gov.in/" xr:uid="{A32D0A0A-81E5-40A3-8993-F967960D51E1}"/>
    <hyperlink ref="H29" r:id="rId43" display="mailto:info@avantifeeds.com" xr:uid="{5C355C24-04B8-4239-8148-DDB7AECFF74B}"/>
    <hyperlink ref="I29" r:id="rId44" display="https://avantifeeds.com/" xr:uid="{25C0ED1C-01CC-4CD9-825B-BBBD35BA774F}"/>
    <hyperlink ref="H30" r:id="rId45" display="mailto:info@nekkantiseafoods.com" xr:uid="{AF9B7577-149C-4D88-B539-2A02B85D09F8}"/>
    <hyperlink ref="I30" r:id="rId46" display="https://nekkantiseafoods.com/" xr:uid="{BE24A59C-0F04-4B67-B628-FC147B696588}"/>
    <hyperlink ref="H31" r:id="rId47" display="mailto:info@westcoast.in" xr:uid="{E019C902-B0E0-4B94-A895-7234B3E1A8C2}"/>
    <hyperlink ref="I31" r:id="rId48" display="https://westcoast.in/" xr:uid="{78F141DB-564F-462B-BCCE-348EDEF05948}"/>
    <hyperlink ref="H32" r:id="rId49" display="mailto:info@libertygroup.in" xr:uid="{B79C9589-D8FB-44E3-9F92-3CAA4597EF00}"/>
    <hyperlink ref="I32" r:id="rId50" display="https://libertygroup.in/" xr:uid="{953BC7D4-FDE9-4DF0-8501-21092BB3FED5}"/>
    <hyperlink ref="H33" r:id="rId51" display="mailto:info@falconmarine.in" xr:uid="{6BCA7656-0A5A-4782-B7B5-DC702AFF0F45}"/>
    <hyperlink ref="I33" r:id="rId52" display="https://falconmarine.in/" xr:uid="{E5A8A191-027A-4A05-BDDC-CC07EEA8050A}"/>
    <hyperlink ref="H34" r:id="rId53" display="mailto:info@ifbagro.in" xr:uid="{228AF491-3F7F-4614-A7DF-B8589A12E627}"/>
    <hyperlink ref="I34" r:id="rId54" display="https://ifbagro.in/" xr:uid="{A9DDD9C9-7398-4E4D-A0A7-E42CC6C7EAE1}"/>
    <hyperlink ref="H35" r:id="rId55" display="mailto:info@amarsagar.com" xr:uid="{65D30EAC-14F1-4CC3-BAD9-1DBC44974557}"/>
    <hyperlink ref="H36" r:id="rId56" display="mailto:info@sandhyamarines.com" xr:uid="{29C74FA4-B720-40BD-B43A-C749EA6875F5}"/>
    <hyperlink ref="I36" r:id="rId57" display="https://sandhyamarines.com/" xr:uid="{FE1ABC97-71C3-4D15-8E48-2664E1F06A11}"/>
    <hyperlink ref="H37" r:id="rId58" display="mailto:info@devifisheries.com" xr:uid="{36B08356-2CF5-414B-85B2-BAC30E183BE7}"/>
    <hyperlink ref="I37" r:id="rId59" display="https://devifisheries.com/" xr:uid="{21940AE1-E2F3-48E3-A5A8-F49CAAB47A7F}"/>
    <hyperlink ref="H38" r:id="rId60" display="mailto:bmr@bMRgroup.in" xr:uid="{809253FE-C09D-4100-A434-8E1A9BED88A7}"/>
    <hyperlink ref="I38" r:id="rId61" display="https://bmrgroup.in/" xr:uid="{5E2EDED7-A965-4B18-8B55-50FE8DF5B0C9}"/>
    <hyperlink ref="H40" r:id="rId62" display="mailto:chairman@apeda.gov.in" xr:uid="{B71B5EC6-7E43-4A09-AF50-D0E9B99936F3}"/>
    <hyperlink ref="I40" r:id="rId63" display="https://apeda.gov.in/" xr:uid="{48AFA077-250B-48D2-B7E2-7C687C8A60DE}"/>
    <hyperlink ref="H41" r:id="rId64" display="mailto:md@nddb.coop" xr:uid="{4248245F-F642-463C-A582-A03416C0108B}"/>
    <hyperlink ref="I41" r:id="rId65" display="https://nddb.coop/" xr:uid="{E750D01A-C1E1-4000-B737-533ECCCB9B03}"/>
    <hyperlink ref="H42" r:id="rId66" display="mailto:info@skmegg.com" xr:uid="{70C9A432-E3D3-4F2B-8F08-08DF646DF27A}"/>
    <hyperlink ref="I42" r:id="rId67" display="https://skmegg.com/" xr:uid="{5EE817BD-2309-4933-A105-725DD41D0F8B}"/>
    <hyperlink ref="H43" r:id="rId68" display="mailto:info@ibgroup.co.in" xr:uid="{1C2FA99E-28AA-4D6F-B3F7-ABB0BD27CF74}"/>
    <hyperlink ref="I43" r:id="rId69" display="https://ibgroup.co.in/" xr:uid="{48E8665B-5DF1-49A1-BF1C-77AFC2122725}"/>
    <hyperlink ref="H44" r:id="rId70" display="mailto:info@venkys.com" xr:uid="{090D3123-240E-4E65-944A-80CDC5027C61}"/>
    <hyperlink ref="I44" r:id="rId71" display="https://venkys.com/" xr:uid="{C91A4544-6023-4CCF-B999-73EF144C4F79}"/>
    <hyperlink ref="H45" r:id="rId72" display="mailto:info@westcoast.in" xr:uid="{761F6F80-9880-46F5-93AC-6B4A51886079}"/>
    <hyperlink ref="I45" r:id="rId73" display="https://westcoast.in/" xr:uid="{FF851FCB-3BA6-45E7-B380-DF1FEA2DB038}"/>
    <hyperlink ref="H46" r:id="rId74" display="mailto:gcmmf@amul.coop" xr:uid="{EEE58916-5FC9-4E71-AA22-14A9F833FA4C}"/>
    <hyperlink ref="I46" r:id="rId75" display="https://amul.com/" xr:uid="{1A60E3D0-76B4-40F6-929B-BF86E3DAC667}"/>
    <hyperlink ref="H47" r:id="rId76" display="mailto:info@hatsun.com" xr:uid="{24515EF5-C7D1-4788-B4CF-0F80BFD2B7D4}"/>
    <hyperlink ref="I47" r:id="rId77" display="https://hatsun.com/" xr:uid="{30EEB32A-FD69-4A17-B145-DCE2446229B7}"/>
    <hyperlink ref="H48" r:id="rId78" display="mailto:info@novadairy.com" xr:uid="{4B61465A-6180-4B4B-8109-18E857F133B6}"/>
    <hyperlink ref="I48" r:id="rId79" display="https://novadairy.com/" xr:uid="{EC81991B-2E92-4297-A289-473CB3020CF4}"/>
    <hyperlink ref="H49" r:id="rId80" display="mailto:info@paragmilkfoods.com" xr:uid="{23836C77-CFA7-488E-B1D1-97B7E68CF67A}"/>
    <hyperlink ref="I49" r:id="rId81" display="https://paragmilkfoods.com/" xr:uid="{4F0ADF6B-332F-452D-857C-40FDAA3591E4}"/>
    <hyperlink ref="H50" r:id="rId82" display="mailto:kamf@karnimilkfed.com" xr:uid="{1C682467-0C35-4B05-A9C6-82259CB3C6E4}"/>
    <hyperlink ref="I50" r:id="rId83" display="https://karnimilkfed.coop/" xr:uid="{1707511F-B9AB-48EB-B32F-9D70925DD24F}"/>
    <hyperlink ref="H51" r:id="rId84" display="mailto:info@keystone-foundation.org" xr:uid="{E4C7CDDB-74CC-4CD4-88FB-2FFE481AF902}"/>
    <hyperlink ref="I51" r:id="rId85" display="https://keystone-foundation.org/" xr:uid="{698DAC4A-2B3E-424D-8731-B3B893DFEC6D}"/>
    <hyperlink ref="H52" r:id="rId86" display="mailto:info@utmt.in" xr:uid="{D5F69A9C-A8D0-431E-87AA-B547A15BCD61}"/>
    <hyperlink ref="I52" r:id="rId87" display="https://utmt.in/" xr:uid="{9EFFA211-AD05-4B53-9675-A778113C9C2E}"/>
    <hyperlink ref="H53" r:id="rId88" display="mailto:director.ndri@icar.gov.in" xr:uid="{1019494A-6897-4FB4-A0CA-8E323FF5A9C6}"/>
    <hyperlink ref="I53" r:id="rId89" display="https://ndri.res.in/" xr:uid="{62D5EF13-FC0D-4102-8FDC-AC9CD9C36855}"/>
    <hyperlink ref="H54" r:id="rId90" display="mailto:referrallab-kochi@eicindia.gov.in" xr:uid="{603416C1-5091-46E8-B3B5-9C67581B572D}"/>
    <hyperlink ref="I54" r:id="rId91" display="https://eicindia.gov.in/" xr:uid="{EF822F1F-57B3-47EF-B9D9-93FA2665B0D8}"/>
    <hyperlink ref="H56" r:id="rId92" display="mailto:chairman@apeda.gov.in" xr:uid="{2601BB69-C036-4E93-865D-19826E207477}"/>
    <hyperlink ref="I56" r:id="rId93" display="https://apeda.gov.in/" xr:uid="{90A7A9E9-4661-4DF0-979B-9359BCE31C20}"/>
    <hyperlink ref="H57" r:id="rId94" display="mailto:eic@eicindia.gov.in" xr:uid="{3FEF8F47-1554-446F-85FE-F37EB448BDE9}"/>
    <hyperlink ref="I57" r:id="rId95" display="https://eicindia.gov.in/" xr:uid="{51FEFCE2-78CD-4C17-8CC2-506D7CF23B5F}"/>
    <hyperlink ref="H58" r:id="rId96" display="mailto:mail@nitta-gelatin.co.in" xr:uid="{D8CCE11D-B9B0-42A4-8856-35BE370A5A8B}"/>
    <hyperlink ref="I58" r:id="rId97" display="https://gelatin.in/" xr:uid="{64E938C5-B219-45A1-BD05-4D7E25B48846}"/>
    <hyperlink ref="H59" r:id="rId98" display="mailto:info@sterlingbiotech.in" xr:uid="{DB9C6A23-17EF-4627-8355-B2952C26D27A}"/>
    <hyperlink ref="H60" r:id="rId99" display="mailto:info@indiagelatine.com" xr:uid="{B4365D06-5C5D-4238-9C14-2E239C7C6831}"/>
    <hyperlink ref="I60" r:id="rId100" display="https://indiagelatine.com/" xr:uid="{E1C0A7B3-50D3-4E04-A7D6-097023992520}"/>
    <hyperlink ref="H61" r:id="rId101" display="mailto:info.india@gelita.com" xr:uid="{C5665D1A-18F4-487C-95F6-AB14B06C6510}"/>
    <hyperlink ref="I61" r:id="rId102" display="https://gelita.com/" xr:uid="{46086872-3ED8-4F0B-8434-E436BDA94A52}"/>
    <hyperlink ref="H62" r:id="rId103" display="mailto:info@narmadagelatines.com" xr:uid="{ADD830B5-C6F0-4199-9C24-86DFCF038B9B}"/>
    <hyperlink ref="I62" r:id="rId104" display="https://narmadagelatines.com/" xr:uid="{3BC204A1-5D62-46D6-83FE-7A475AA6F562}"/>
    <hyperlink ref="H63" r:id="rId105" display="mailto:info@alshafa.in" xr:uid="{02366BB2-5834-4D56-8082-7AAE56AFE843}"/>
    <hyperlink ref="I63" r:id="rId106" display="https://alshafa.in/" xr:uid="{AEDA09AF-C5DB-4F5D-91C9-A5D6F999C119}"/>
    <hyperlink ref="H64" r:id="rId107" display="mailto:info@altayyeb.in" xr:uid="{AEAB92D1-CDD6-4495-B516-6DFD8B6AB218}"/>
    <hyperlink ref="H66" r:id="rId108" display="mailto:director.nrcp@icar.gov.in" xr:uid="{E0FD1650-5E09-4D91-A580-869121EF7B49}"/>
    <hyperlink ref="I66" r:id="rId109" display="https://nrcp.icar.gov.in/" xr:uid="{2812E3DB-E2E4-4179-B522-B6DC7A9B5816}"/>
    <hyperlink ref="H67" r:id="rId110" display="mailto:referrallab-kochi@eicindia.gov.in" xr:uid="{437190D1-5B9E-4B99-9738-4E07D08093D8}"/>
    <hyperlink ref="I67" r:id="rId111" display="https://eicindia.gov.in/" xr:uid="{EDB10FD2-D727-4395-ADCA-B27AB7D2128F}"/>
    <hyperlink ref="H69" r:id="rId112" display="mailto:chairman@apeda.gov.in" xr:uid="{8C610854-33E1-4D7A-94D5-B38E3841F5D1}"/>
    <hyperlink ref="I69" r:id="rId113" display="https://apeda.gov.in/" xr:uid="{F12B9F6D-267E-4954-B482-F549E40D642D}"/>
    <hyperlink ref="H70" r:id="rId114" display="mailto:ppa@nic.in" xr:uid="{43B86934-6CEA-4EA1-807B-0478565ACA77}"/>
    <hyperlink ref="I70" r:id="rId115" display="https://ppqs.gov.in/" xr:uid="{37E90EB8-0F91-4301-AAFF-188D6EA1E83E}"/>
    <hyperlink ref="H71" r:id="rId116" display="mailto:info@karuturi.com" xr:uid="{49361B71-76E2-4CA6-B73D-DEB7B3FE3771}"/>
    <hyperlink ref="I71" r:id="rId117" display="https://karuturi.com/" xr:uid="{B2C1A1AA-CC24-45A9-9D49-32B27FE85F88}"/>
    <hyperlink ref="H72" r:id="rId118" display="mailto:info@suvarnafloritech.com" xr:uid="{9ECCDB79-4070-41BD-BF50-A54950C535C2}"/>
    <hyperlink ref="H73" r:id="rId119" display="mailto:info@floratechindia.com" xr:uid="{2FC25054-BAAD-44E5-9C87-A14E91E1563A}"/>
    <hyperlink ref="H75" r:id="rId120" display="mailto:info@srinidhibiotech.com" xr:uid="{5B4C16A1-B043-4ADE-925D-4CA3E938F47B}"/>
    <hyperlink ref="H76" r:id="rId121" display="mailto:info@iahseeds.com" xr:uid="{DA93AD5A-1923-43F0-B2BC-68A1B106DBA4}"/>
    <hyperlink ref="I76" r:id="rId122" display="https://indamseeds.com/" xr:uid="{4578C417-732D-4007-89AC-ACA7DD7F0CF4}"/>
    <hyperlink ref="H77" r:id="rId123" display="mailto:labland@lablandbiotech.com" xr:uid="{9589D55E-E35D-493B-B8F7-DE40A6BDCA2C}"/>
    <hyperlink ref="I77" r:id="rId124" display="https://lablandbiotech.com/" xr:uid="{3AAC8901-B420-4AF3-9494-E216D0AE3D7B}"/>
    <hyperlink ref="H78" r:id="rId125" display="mailto:director.nrco@icar.gov.in" xr:uid="{778513AF-BD8F-479C-9BB2-8BDC9F971BE0}"/>
    <hyperlink ref="I78" r:id="rId126" display="https://nrcorchids.icar.gov.in/" xr:uid="{1B8BC811-768B-4CA0-BB52-894E004C6D2D}"/>
    <hyperlink ref="H79" r:id="rId127" display="mailto:director.iihr@icar.gov.in" xr:uid="{65915D86-5B63-4E58-8144-941F90FC6D2D}"/>
    <hyperlink ref="I79" r:id="rId128" display="https://iihr.icar.gov.in/" xr:uid="{6FABC220-DDD2-4F9F-93BA-87E55692E287}"/>
    <hyperlink ref="H82" r:id="rId129" display="mailto:chairman@apeda.gov.in" xr:uid="{4886D349-773C-4F03-B1E8-37E025DD79D2}"/>
    <hyperlink ref="I82" r:id="rId130" display="https://apeda.gov.in/" xr:uid="{1BFF5185-D64E-4E17-8E99-9EA6B26A4F74}"/>
    <hyperlink ref="H83" r:id="rId131" display="mailto:apeda-nashik@apeda.gov.in" xr:uid="{0BEFC62F-A12F-4583-91A8-F3B52F0DBF63}"/>
    <hyperlink ref="I83" r:id="rId132" display="https://apeda.gov.in/" xr:uid="{6E6A0DC8-6689-4B22-BD99-FBA897056DFC}"/>
    <hyperlink ref="H84" r:id="rId133" display="mailto:apeda-hyd@apeda.gov.in" xr:uid="{59969B6B-D0A7-4E67-B629-CCE583FC9906}"/>
    <hyperlink ref="I84" r:id="rId134" display="https://apeda.gov.in/" xr:uid="{34C33AC4-8B08-496D-A32E-9E333A83A5D3}"/>
    <hyperlink ref="H85" r:id="rId135" display="mailto:md@nhb.gov.in" xr:uid="{023E7A23-0D9A-4269-893A-E5A60A1DAC72}"/>
    <hyperlink ref="I85" r:id="rId136" display="https://nhb.gov.in/" xr:uid="{08E0084E-4CC1-47A2-86D8-C2BD79844B21}"/>
    <hyperlink ref="H86" r:id="rId137" display="mailto:ppa@nic.in" xr:uid="{5A61E8F0-7748-49B3-8618-6575DB8865B6}"/>
    <hyperlink ref="I86" r:id="rId138" display="https://ppqs.gov.in/" xr:uid="{9B187CD1-AA12-46ED-A5A1-5E3208E5E90D}"/>
    <hyperlink ref="H87" r:id="rId139" display="mailto:foods@jains.com" xr:uid="{903DD54B-C7AE-4221-8C45-43410F278451}"/>
    <hyperlink ref="I87" r:id="rId140" display="https://jains.com/" xr:uid="{5DA4A61B-A626-4F5C-B237-3CA11ADD2BEC}"/>
    <hyperlink ref="H88" r:id="rId141" display="mailto:director@nhrdf.org" xr:uid="{55928845-088D-4F66-9DF7-FB8C9CA495AE}"/>
    <hyperlink ref="I88" r:id="rId142" display="https://nhrdf.org/" xr:uid="{F23129F7-CC81-4386-88F4-B61FFD1DED51}"/>
    <hyperlink ref="I89" r:id="rId143" display="https://msamb.org.in/" xr:uid="{3F6182BC-803A-4FCB-AF7F-28D5B5E20C68}"/>
    <hyperlink ref="H90" r:id="rId144" display="mailto:info@globalgreenco.com" xr:uid="{7CF430DA-ED5D-4487-9DEB-E2A913162B02}"/>
    <hyperlink ref="H91" r:id="rId145" display="mailto:india@reitzelgroup.com" xr:uid="{3640821C-415F-4D80-A1E2-8332B4ED5259}"/>
    <hyperlink ref="I91" r:id="rId146" display="https://reitzelgroup.com/" xr:uid="{3B57A5D4-B017-4D9F-B727-09CFA2BE4CCE}"/>
    <hyperlink ref="H93" r:id="rId147" display="mailto:onion@allanasons.com" xr:uid="{0A2CC119-9358-49E9-BE9E-BD45541B6392}"/>
    <hyperlink ref="I93" r:id="rId148" display="https://allanasons.com/" xr:uid="{0947D4D3-815A-4634-A834-AAEF77578170}"/>
    <hyperlink ref="H95" r:id="rId149" display="mailto:olive@oliveintl.com" xr:uid="{92EFF6FB-5101-4E4E-9F28-E50A1AE109D0}"/>
    <hyperlink ref="H102" r:id="rId150" display="mailto:director.iivr@icar.gov.in" xr:uid="{99CB6D3F-24B2-4569-9A2B-DD4FDAA279F2}"/>
    <hyperlink ref="I102" r:id="rId151" display="https://iivr.icar.gov.in/" xr:uid="{AD073D7C-F5A6-4BCF-AA53-8AE7E81FC471}"/>
    <hyperlink ref="H103" r:id="rId152" display="mailto:dogr@icar.gov.in" xr:uid="{A6A23B78-9975-424A-9E83-F9C995BFACA1}"/>
    <hyperlink ref="I103" r:id="rId153" display="https://dogr.icar.gov.in/" xr:uid="{A5139A4A-8617-4D06-92D1-1823DD6585A4}"/>
    <hyperlink ref="H105" r:id="rId154" display="mailto:chairman@apeda.gov.in" xr:uid="{869C9C0C-A38E-4D01-BE7B-ED9D1FDB0ABA}"/>
    <hyperlink ref="I105" r:id="rId155" display="https://apeda.gov.in/" xr:uid="{FC7B5EB7-3D1E-4B0A-AAAA-28E6DD53ECD9}"/>
    <hyperlink ref="H106" r:id="rId156" display="mailto:apeda-nashik@apeda.gov.in" xr:uid="{3F50506C-9DF1-4896-A6A5-31B6E5E9AEEC}"/>
    <hyperlink ref="I106" r:id="rId157" display="https://apeda.gov.in/" xr:uid="{B4B6B6D5-C83D-47D4-A65A-1CFBCA5A8D69}"/>
    <hyperlink ref="H107" r:id="rId158" display="mailto:apeda-vijayawada@apeda.gov.in" xr:uid="{D09F1681-2162-4EBE-8398-7B6B0E5EF76B}"/>
    <hyperlink ref="I107" r:id="rId159" display="https://apeda.gov.in/" xr:uid="{03D393CA-F369-40F5-A2C9-80537F212A06}"/>
    <hyperlink ref="H108" r:id="rId160" display="mailto:apeda-blr@apeda.gov.in" xr:uid="{F8620FE9-08C1-4FFE-AAC4-FA51F162C7D0}"/>
    <hyperlink ref="I108" r:id="rId161" display="https://apeda.gov.in/" xr:uid="{1DD14405-C559-44D8-B19A-7CED487A26AC}"/>
    <hyperlink ref="H109" r:id="rId162" display="mailto:md@nhb.gov.in" xr:uid="{3FA940B7-ADA0-4F7C-8939-9945AA0BD5C1}"/>
    <hyperlink ref="I109" r:id="rId163" display="https://nhb.gov.in/" xr:uid="{5F240D51-17D3-42BA-8E32-A20250D10519}"/>
    <hyperlink ref="H110" r:id="rId164" display="mailto:ppa@nic.in" xr:uid="{1FE6D907-C951-4BF4-B9C6-F0F0CD715488}"/>
    <hyperlink ref="I110" r:id="rId165" display="https://ppqs.gov.in/" xr:uid="{E9A87415-4779-4D11-A060-416B7A6D8FFD}"/>
    <hyperlink ref="H111" r:id="rId166" display="mailto:info@sahyadrifarms.com" xr:uid="{1A7BEB7D-FBA5-45A0-8AC5-B38F9773FB0B}"/>
    <hyperlink ref="I111" r:id="rId167" display="https://sahyadrifarms.com/" xr:uid="{AB3BB2B5-2269-42AC-B32C-1780BF9351D8}"/>
    <hyperlink ref="H112" r:id="rId168" display="mailto:info@freshtrop.com" xr:uid="{6332DFE5-09DE-42F5-BFA7-35C63402D4ED}"/>
    <hyperlink ref="I112" r:id="rId169" display="https://freshtrop.com/" xr:uid="{7264B5FD-8504-4BCE-BC95-79F64AA5CF53}"/>
    <hyperlink ref="H113" r:id="rId170" display="mailto:info@kalyaexports.com" xr:uid="{025F4210-D91E-4934-9885-29A0D3705137}"/>
    <hyperlink ref="I113" r:id="rId171" display="https://kalyaexports.com/" xr:uid="{190027A0-CD56-4E18-A9E7-A4E43C3941FF}"/>
    <hyperlink ref="H114" r:id="rId172" display="mailto:info@inifarms.com" xr:uid="{BF41888F-6C3F-4074-89DD-B045A74445B8}"/>
    <hyperlink ref="I114" r:id="rId173" display="https://inifarms.com/" xr:uid="{045C4D31-B0EF-41AA-9E21-28B2E1A8D1C9}"/>
    <hyperlink ref="H115" r:id="rId174" display="mailto:info@elvinafruits.com" xr:uid="{DCA84CD8-A473-4F08-B1CC-39D9BAC37226}"/>
    <hyperlink ref="H116" r:id="rId175" display="mailto:info@jainfarmfresh.com" xr:uid="{6C20F991-7DE4-4128-A7CE-A8B9382DC9F3}"/>
    <hyperlink ref="I116" r:id="rId176" display="https://jainfarmfresh.com/" xr:uid="{2056FA73-9B82-42FB-BB81-E0A6250B5E1E}"/>
    <hyperlink ref="H119" r:id="rId177" display="mailto:info@geewinexim.com" xr:uid="{8F41FB90-13A6-4945-912F-28CA7AD9CA50}"/>
    <hyperlink ref="I119" r:id="rId178" display="https://geewinexim.com/" xr:uid="{A921F279-3ED4-4932-B3F2-80A4CECB9DE3}"/>
    <hyperlink ref="H122" r:id="rId179" display="mailto:info@pisumfoods.com" xr:uid="{9ABBFF53-A0B1-42CA-B692-3B8E4DC98E8D}"/>
    <hyperlink ref="I122" r:id="rId180" display="https://pisumfoods.com/" xr:uid="{805CC127-F900-4C8C-B6BD-D9FFC1618A1B}"/>
    <hyperlink ref="H123" r:id="rId181" display="mailto:info@iginternational.net" xr:uid="{FB6F7CE3-18D7-4E85-A4FA-D18C35CADAEF}"/>
    <hyperlink ref="I123" r:id="rId182" display="https://iginternational.net/" xr:uid="{0B616FA0-A3D9-4E9D-B398-80EBB267C709}"/>
    <hyperlink ref="H126" r:id="rId183" display="mailto:director.nrcg@icar.gov.in" xr:uid="{A3BB67BF-C69D-460A-A823-AAAC6A2802AF}"/>
    <hyperlink ref="I126" r:id="rId184" display="https://nrcgrapes.icar.gov.in/" xr:uid="{950A98C0-2B6D-4149-9D58-01B66CC6D21C}"/>
    <hyperlink ref="H127" r:id="rId185" display="mailto:director.nrcpomegranate@icar.gov.in" xr:uid="{C313581B-3D12-405F-A4FA-ADFD5A81C99B}"/>
    <hyperlink ref="I127" r:id="rId186" display="https://nrcpomegranate.icar.gov.in/" xr:uid="{59B85FD1-2AEC-40E7-B4C8-C15A8D0C5887}"/>
    <hyperlink ref="H129" r:id="rId187" display="mailto:chairman@apeda.gov.in" xr:uid="{9E716559-C8CB-4E90-AEAC-AA7995C9FB18}"/>
    <hyperlink ref="I129" r:id="rId188" display="https://apeda.gov.in/" xr:uid="{327C924D-E654-43F2-A312-31A77B89B334}"/>
    <hyperlink ref="H130" r:id="rId189" display="mailto:mail@indianspices.com" xr:uid="{5A6F0AA4-636F-4097-A8C2-39F8932EE5C5}"/>
    <hyperlink ref="I130" r:id="rId190" display="https://indianspices.com/" xr:uid="{6875F05E-4506-490E-BA2B-1366DCA84523}"/>
    <hyperlink ref="H131" r:id="rId191" display="mailto:sbro.mumbai@nic.in" xr:uid="{7DBEAABA-36D2-45F2-B6DE-A46DCEA92D35}"/>
    <hyperlink ref="I131" r:id="rId192" display="https://indianspices.com/" xr:uid="{ABCE593F-BAAA-46F3-BC36-5E523AF6F9AE}"/>
    <hyperlink ref="H132" r:id="rId193" display="mailto:sbro.guntur@nic.in" xr:uid="{F7B30E20-412B-40A8-B3EE-8036B337796A}"/>
    <hyperlink ref="I132" r:id="rId194" display="https://indianspices.com/" xr:uid="{0FB273F0-67F6-4594-B860-53179F90524C}"/>
    <hyperlink ref="H133" r:id="rId195" display="mailto:sbro.kochi@nic.in" xr:uid="{EDBCB73A-CCFA-450C-A70F-064D47ACCD34}"/>
    <hyperlink ref="I133" r:id="rId196" display="https://indianspices.com/" xr:uid="{4F3BB84D-C5CF-4602-97C4-BC18EF605C59}"/>
    <hyperlink ref="H134" r:id="rId197" display="mailto:info@synthite.com" xr:uid="{E53BE381-423C-4038-A8E8-E917960221E7}"/>
    <hyperlink ref="I134" r:id="rId198" display="https://synthite.com/" xr:uid="{0B5BC16A-BF08-4732-9EEE-90246BD925EB}"/>
    <hyperlink ref="H135" r:id="rId199" display="mailto:info@manekancor.com" xr:uid="{0797380D-AD9C-48FD-9C2A-BB171893EAF8}"/>
    <hyperlink ref="I135" r:id="rId200" display="https://manekancor.com/" xr:uid="{60C7819F-98ED-4EA5-B3EA-BB1CC9001DB8}"/>
    <hyperlink ref="H136" r:id="rId201" display="mailto:info@plantlipids.com" xr:uid="{9234F315-D0DC-4FD4-888E-D2F7AE107F4F}"/>
    <hyperlink ref="I136" r:id="rId202" display="https://plantlipids.com/" xr:uid="{E4035797-C55A-4938-9841-631D84441E25}"/>
    <hyperlink ref="H137" r:id="rId203" display="mailto:info@eastern.in" xr:uid="{06200979-5E10-42CD-AE79-9D2BCE577D36}"/>
    <hyperlink ref="I137" r:id="rId204" display="https://eastern.in/" xr:uid="{059E61B8-F97F-47A7-9976-F86F23A286C6}"/>
    <hyperlink ref="H138" r:id="rId205" display="mailto:info@vkcgroup.com" xr:uid="{CB902D34-984A-44BA-AC05-4C95277DD528}"/>
    <hyperlink ref="I138" r:id="rId206" display="https://vkcgroup.com/" xr:uid="{9F28451A-ED3B-47DB-B5E6-2F9E83DBAE00}"/>
    <hyperlink ref="H139" r:id="rId207" display="mailto:info@jabsons.com" xr:uid="{D2BE117D-9237-44CB-B1A0-6B838520CD38}"/>
    <hyperlink ref="I139" r:id="rId208" display="https://jabsinternational.com/" xr:uid="{4941AF8A-7F72-47AD-B1AA-75682917230F}"/>
    <hyperlink ref="H140" r:id="rId209" display="mailto:spices@allanasons.com" xr:uid="{ECF2BB99-ADA1-40C1-8454-E47777BA3A4C}"/>
    <hyperlink ref="I140" r:id="rId210" display="https://allanasons.com/" xr:uid="{F8F20EBB-3478-45B0-AB0E-8525770A9083}"/>
    <hyperlink ref="H141" r:id="rId211" display="mailto:info@akay-group.com" xr:uid="{72517E87-C120-4CBF-9091-E29156067C26}"/>
    <hyperlink ref="I141" r:id="rId212" display="https://akay-group.com/" xr:uid="{C8F2421A-04F4-4CBD-B284-F87FE21D7D27}"/>
    <hyperlink ref="H145" r:id="rId213" display="mailto:director.spices@icar.gov.in" xr:uid="{B7CFF39F-FAA9-49B0-908A-0DA1A3DCA505}"/>
    <hyperlink ref="I145" r:id="rId214" display="https://spices.res.in/" xr:uid="{6CB30275-E579-495C-854C-91AC15A729C7}"/>
    <hyperlink ref="H147" r:id="rId215" display="mailto:chairman@apeda.gov.in" xr:uid="{8CF47BBB-DA9F-4CB4-A67C-BB58779F3C88}"/>
    <hyperlink ref="I147" r:id="rId216" display="https://apeda.gov.in/" xr:uid="{466907B8-F95E-4EEF-BAB4-857D72A3940E}"/>
    <hyperlink ref="H148" r:id="rId217" display="mailto:apeda-mumbai@apeda.gov.in" xr:uid="{97C43981-BF85-44F9-84DE-518EF2D2B07A}"/>
    <hyperlink ref="I148" r:id="rId218" display="https://apeda.gov.in/" xr:uid="{657D7398-79A5-44F2-8C5F-FF21EC0A9B63}"/>
    <hyperlink ref="H149" r:id="rId219" display="mailto:info@airia.in" xr:uid="{764E187D-7453-4737-B3DE-98AC6C6BCD20}"/>
    <hyperlink ref="I149" r:id="rId220" display="https://airia.in/" xr:uid="{60566029-9B22-4E3F-8639-CFFE99AD0202}"/>
    <hyperlink ref="H150" r:id="rId221" display="mailto:info@krblrice.com" xr:uid="{1C6081FF-DD70-4BE1-AF87-A5549C321293}"/>
    <hyperlink ref="I150" r:id="rId222" display="https://krblrice.com/" xr:uid="{3AF02DF6-9682-444A-BA78-C36ADAC9B711}"/>
    <hyperlink ref="H152" r:id="rId223" display="mailto:info@ltgroup.in" xr:uid="{BB452D19-96BD-4FE9-A6EE-1E6EF3F42BFD}"/>
    <hyperlink ref="I152" r:id="rId224" display="https://ltfoods.in/" xr:uid="{01DE3CC5-3E6F-4BB4-81E4-12A2492678DE}"/>
    <hyperlink ref="H153" r:id="rId225" display="mailto:info@kohinoorfoods.in" xr:uid="{33FB78ED-1623-4AF0-95C6-16326DF3E21A}"/>
    <hyperlink ref="I153" r:id="rId226" display="https://kohinoorfoods.in/" xr:uid="{AA7B4A3E-575C-4775-8F11-F57BD8B07CCE}"/>
    <hyperlink ref="H154" r:id="rId227" display="mailto:info@acjl.in" xr:uid="{A221B5C1-BA1E-4A7D-9B83-A1C444579929}"/>
    <hyperlink ref="I154" r:id="rId228" display="https://acjl.in/" xr:uid="{832509AB-4F87-4CA5-81F4-1E5C046E2FC8}"/>
    <hyperlink ref="H155" r:id="rId229" display="mailto:info@grmrice.com" xr:uid="{A7E6AF81-6C09-44BE-B7D7-8D79606B1573}"/>
    <hyperlink ref="I155" r:id="rId230" display="https://grmrice.com/" xr:uid="{1C86500B-0D99-402C-8CFB-855E9823FD94}"/>
    <hyperlink ref="H156" r:id="rId231" display="mailto:info@dunar.in" xr:uid="{E0BFA3C1-1CA8-4070-AB47-D91871CA8E4B}"/>
    <hyperlink ref="I156" r:id="rId232" display="https://dunar.in/" xr:uid="{9BECC09D-E6CE-49B8-B510-76202BA2C88D}"/>
    <hyperlink ref="H157" r:id="rId233" display="mailto:info@sunstaroverseas.com" xr:uid="{C49A2CEE-4B19-42EC-A0EC-7CEA0248D954}"/>
    <hyperlink ref="I157" r:id="rId234" display="https://sunstaroverseas.com/" xr:uid="{77A0E8BF-78B3-4718-80DC-D8858234E858}"/>
    <hyperlink ref="I158" r:id="rId235" display="https://ldc.com/" xr:uid="{6D8AF7CA-F6E7-4976-A16C-D2B65B5AE3E3}"/>
    <hyperlink ref="H159" r:id="rId236" display="mailto:india@olamnet.com" xr:uid="{F95EFCCB-C86A-44C4-974D-9D417951CC78}"/>
    <hyperlink ref="I159" r:id="rId237" display="https://olamgroup.com/" xr:uid="{DD8CA857-4037-455E-822C-D483AF647AC2}"/>
    <hyperlink ref="H160" r:id="rId238" display="mailto:info@adaniwilmar.com" xr:uid="{96F0BE04-AEE6-4D70-B373-0418A0E6ACD5}"/>
    <hyperlink ref="I160" r:id="rId239" display="https://adaniwilmar.com/" xr:uid="{E97582E3-6B6C-47A9-95EE-A0FE9D9685FA}"/>
    <hyperlink ref="H161" r:id="rId240" display="mailto:director.iirr@icar.gov.in" xr:uid="{87CF4E45-6DFB-4A34-B7FD-3633EF07DD01}"/>
    <hyperlink ref="I161" r:id="rId241" display="https://iirr.icar.gov.in/" xr:uid="{FE734473-E9C5-4403-9651-31DBAE55A970}"/>
    <hyperlink ref="H163" r:id="rId242" display="mailto:chairman@apeda.gov.in" xr:uid="{A4973695-7325-4C9F-93A0-562F1664E1C3}"/>
    <hyperlink ref="I163" r:id="rId243" display="https://apeda.gov.in/" xr:uid="{F82FA962-7525-406D-9346-3E5C09F6CAD4}"/>
    <hyperlink ref="I164" r:id="rId244" display="https://dgft.gov.in/" xr:uid="{2691A87C-8C3A-4684-8C0B-FD2FB305525B}"/>
    <hyperlink ref="I165" r:id="rId245" display="https://itcportal.com/" xr:uid="{9E46239F-B116-4910-98E8-A6BE4F83FD27}"/>
    <hyperlink ref="I166" r:id="rId246" display="https://generalmills.com/" xr:uid="{9C5CA4CD-1248-4BB2-A8FC-11CED9B99B29}"/>
    <hyperlink ref="I167" r:id="rId247" display="https://hul.co.in/" xr:uid="{31DF2F03-77EE-4794-B887-68BB9CA4135B}"/>
    <hyperlink ref="H168" r:id="rId248" display="mailto:info@bansalgroup.in" xr:uid="{83B0D88F-90AD-4240-86BC-FD242AC5832F}"/>
    <hyperlink ref="I168" r:id="rId249" display="https://bansalgroup.in/" xr:uid="{AF511A1E-58D3-47AC-A0E9-13748CEB55AB}"/>
    <hyperlink ref="H169" r:id="rId250" display="mailto:info@shaktibhog.com" xr:uid="{D05B8CE6-203C-4BE7-ABCF-E842F0CD6535}"/>
    <hyperlink ref="I169" r:id="rId251" display="https://shaktibhog.com/" xr:uid="{78C389A5-5191-4B10-8B99-6F21B564B9FF}"/>
    <hyperlink ref="H170" r:id="rId252" display="mailto:info@naturellindia.com" xr:uid="{33718AF7-FC13-4434-9952-83DC92802B9F}"/>
    <hyperlink ref="I170" r:id="rId253" display="https://naturellindia.com/" xr:uid="{06F4A0E2-AC54-494C-8305-E29C8CB0AB86}"/>
    <hyperlink ref="I172" r:id="rId254" display="https://cargill.co.in/" xr:uid="{5952F7C2-3ACB-4A42-BE30-318011DA153D}"/>
    <hyperlink ref="H174" r:id="rId255" display="mailto:info@riddhisiddhi.co.in" xr:uid="{D939DECF-E68C-409A-AC88-D7563A56CD59}"/>
    <hyperlink ref="I174" r:id="rId256" display="https://riddhisiddhi.co.in/" xr:uid="{009E9B8C-DA8A-423C-81FB-9FE12F3D90F9}"/>
    <hyperlink ref="I175" r:id="rId257" display="https://roquette.com/" xr:uid="{7A1230DA-63B8-44E2-A894-71D2D8D0ED63}"/>
    <hyperlink ref="H176" r:id="rId258" display="mailto:director@iifpt.edu.in" xr:uid="{DD5AA17C-FDF0-40B7-B33A-F3411020E86E}"/>
    <hyperlink ref="I176" r:id="rId259" display="https://iifpt.edu.in/" xr:uid="{FE998DAC-6502-463A-A714-307EB0DF7EC0}"/>
    <hyperlink ref="H178" r:id="rId260" display="mailto:chairman@apeda.gov.in" xr:uid="{849E6356-54D0-4783-99E6-1433FA7C9D75}"/>
    <hyperlink ref="I178" r:id="rId261" display="https://apeda.gov.in/" xr:uid="{03308B02-16A8-490E-84E6-55EBA8146E84}"/>
    <hyperlink ref="H179" r:id="rId262" display="mailto:info@iocepc.org" xr:uid="{EF2C79A6-667B-47A5-B8A8-49AE76AA6B6A}"/>
    <hyperlink ref="I179" r:id="rId263" display="https://iocepc.org/" xr:uid="{6AFC700C-F6A4-4AF6-A18F-DF830848F963}"/>
    <hyperlink ref="H180" r:id="rId264" display="mailto:solvent@mtnl.net.in" xr:uid="{CE4D3145-A095-40F5-AF92-E882276DCC6E}"/>
    <hyperlink ref="I180" r:id="rId265" display="https://seaofindia.com/" xr:uid="{D830CF79-8196-448D-9312-1A4143DD2E2C}"/>
    <hyperlink ref="H181" r:id="rId266" display="mailto:info@dipakoils.com" xr:uid="{ACF99C8D-6132-4E21-9493-02923ABDE90E}"/>
    <hyperlink ref="H182" r:id="rId267" display="mailto:india@olamnet.com" xr:uid="{870318BA-3794-4D6E-B296-21149BBCF569}"/>
    <hyperlink ref="I182" r:id="rId268" display="https://olamgroup.com/" xr:uid="{BF8AB4E0-AF41-4970-8A84-A3D5987E9826}"/>
    <hyperlink ref="H183" r:id="rId269" display="mailto:info@vlcspices.com" xr:uid="{8078BAE1-D6BD-4DD6-96C7-1DA80E74F48D}"/>
    <hyperlink ref="I183" r:id="rId270" display="https://vlcspices.com/" xr:uid="{4A7906BC-AFCC-456A-972C-EB090AECC122}"/>
    <hyperlink ref="H184" r:id="rId271" display="mailto:info@jayantagro.com" xr:uid="{F49B4763-487E-4A90-B0C9-95AFF5608424}"/>
    <hyperlink ref="I184" r:id="rId272" display="https://jayantagro.com/" xr:uid="{13E1911D-F15A-43C0-AE04-4BF7BB129FD3}"/>
    <hyperlink ref="H185" r:id="rId273" display="mailto:info@gokulagro.com" xr:uid="{7B6C19E2-F25F-4269-B084-200E7D49E3C0}"/>
    <hyperlink ref="I185" r:id="rId274" display="https://gokulagro.com/" xr:uid="{F531C4FB-0FBC-4FF0-9931-9D754394EEC4}"/>
    <hyperlink ref="H186" r:id="rId275" display="mailto:info@adaniwilmar.com" xr:uid="{54FB393B-1374-4198-BF75-669856D9047D}"/>
    <hyperlink ref="I186" r:id="rId276" display="https://adaniwilmar.com/" xr:uid="{B87128BC-5CD6-4497-9C73-EF5FE46A2C9B}"/>
    <hyperlink ref="H187" r:id="rId277" display="mailto:india@louisdreyfus.com" xr:uid="{369DBBA0-E2DA-4714-9B5A-0A5120D98C18}"/>
    <hyperlink ref="I187" r:id="rId278" display="https://ldc.com/" xr:uid="{142E24D8-0312-4FB4-B346-8F9606771B04}"/>
    <hyperlink ref="H190" r:id="rId279" display="mailto:director@dgr.org.in" xr:uid="{36B4C95B-C05B-4638-8938-40137C3FE9EA}"/>
    <hyperlink ref="I190" r:id="rId280" display="https://dgr.icar.gov.in/" xr:uid="{55D5B113-0ABF-4E23-BDF3-4E349110402A}"/>
    <hyperlink ref="H191" r:id="rId281" display="mailto:director@icar-iior.org.in" xr:uid="{51FB568D-3686-46A1-8286-1B63230B8C2B}"/>
    <hyperlink ref="I191" r:id="rId282" display="https://iior.icar.gov.in/" xr:uid="{C5BF6AE8-ACC6-43D0-B122-63DAE15FB85E}"/>
    <hyperlink ref="H193" r:id="rId283" display="mailto:chairman@apeda.gov.in" xr:uid="{2D0312B3-784D-4753-9773-952ED22E5487}"/>
    <hyperlink ref="I193" r:id="rId284" display="https://apeda.gov.in/" xr:uid="{418582FA-BE95-481B-ADC1-A67B8F6CAD37}"/>
    <hyperlink ref="H194" r:id="rId285" display="mailto:info@shefexil.org" xr:uid="{0C12B720-5BF9-42C5-9ED5-828DCA61503B}"/>
    <hyperlink ref="I194" r:id="rId286" display="https://shefexil.org/" xr:uid="{60263519-3AFB-42CC-AF30-662FA4889C6B}"/>
    <hyperlink ref="H195" r:id="rId287" display="mailto:iglho@indiaglycols.com" xr:uid="{9A6A5CF3-2977-4B92-8771-A8DFFDC18F80}"/>
    <hyperlink ref="I195" r:id="rId288" display="https://indiaglycols.com/" xr:uid="{7414B609-ADDB-47FD-B1E9-380235729472}"/>
    <hyperlink ref="H196" r:id="rId289" display="mailto:info@vikaswsp.com" xr:uid="{1849F251-8CB9-4548-937A-D2E9644FC3C6}"/>
    <hyperlink ref="I196" r:id="rId290" display="https://vikaswsp.com/" xr:uid="{8F053AF8-DD31-4CBF-B461-4E95A29B5FC5}"/>
    <hyperlink ref="H197" r:id="rId291" display="mailto:info@hindustangums.com" xr:uid="{1EB380B3-EFD1-456C-9494-7BE6C30723A9}"/>
    <hyperlink ref="I197" r:id="rId292" display="https://hindustangums.com/" xr:uid="{E0E57D67-AF18-4C9D-8D45-440B49B9FB30}"/>
    <hyperlink ref="H198" r:id="rId293" display="mailto:info@lucidcolloids.com" xr:uid="{658F9DF2-29B8-476E-B6CA-20951477F377}"/>
    <hyperlink ref="I198" r:id="rId294" display="https://lucidcolloids.com/" xr:uid="{E9073742-AECC-4012-8894-5B12938970A2}"/>
    <hyperlink ref="H199" r:id="rId295" display="mailto:info@ramagum.com" xr:uid="{B948E521-9229-45F4-9C12-6FA8E9583CEF}"/>
    <hyperlink ref="I199" r:id="rId296" display="https://ramagum.com/" xr:uid="{DFEC1162-611C-485E-AB77-56E19F6FB286}"/>
    <hyperlink ref="H200" r:id="rId297" display="mailto:info@agrogums.com" xr:uid="{463A747B-AE63-4EBA-91C8-4DFEF7EE185C}"/>
    <hyperlink ref="I200" r:id="rId298" display="https://agrogums.com/" xr:uid="{86760F85-2A04-4704-88C5-468806E04344}"/>
    <hyperlink ref="H201" r:id="rId299" display="mailto:info@altrafine.com" xr:uid="{066A6AF6-0338-4C4B-8BBE-4ADDA82A6726}"/>
    <hyperlink ref="I201" r:id="rId300" display="https://altrafine.com/" xr:uid="{FC53A05A-0944-4692-94AA-68B54B5A1026}"/>
    <hyperlink ref="H203" r:id="rId301" display="mailto:director.cazri@icar.gov.in" xr:uid="{A5897BC8-9983-4954-B7DF-FC0046834AF8}"/>
    <hyperlink ref="I203" r:id="rId302" display="https://cazri.res.in/" xr:uid="{3636E78A-AC74-454E-B570-61BFC3137D5E}"/>
    <hyperlink ref="H205" r:id="rId303" display="mailto:chairman@apeda.gov.in" xr:uid="{2BF3B8A9-8ED1-4EF1-B279-F538FD957A48}"/>
    <hyperlink ref="I205" r:id="rId304" display="https://apeda.gov.in/" xr:uid="{402EFF22-EF7C-4F66-949A-B909747F6D1C}"/>
    <hyperlink ref="H206" r:id="rId305" display="mailto:info@epch.in" xr:uid="{DD7DFB5F-6A0D-4507-9D56-1D60FDE216AB}"/>
    <hyperlink ref="I206" r:id="rId306" display="https://epch.in/" xr:uid="{472E7E46-FCFD-4D43-9DD5-150605DB8DF2}"/>
    <hyperlink ref="H207" r:id="rId307" display="mailto:tribac.tripura@gmail.com" xr:uid="{51F5C94A-B4D0-4BD5-B1EA-D4ADD19FDECE}"/>
    <hyperlink ref="H208" r:id="rId308" display="mailto:info@cbtc.org.in" xr:uid="{2CBE3889-1646-402C-94A7-3A6C9771B9B6}"/>
    <hyperlink ref="I208" r:id="rId309" display="https://cbtc.org.in/" xr:uid="{283971A0-B9AE-461A-8374-B893ABE57EC9}"/>
    <hyperlink ref="H209" r:id="rId310" display="mailto:tfdpc@tripura.gov.in" xr:uid="{2A1991D3-FFB2-4DAB-952B-10AB3674093A}"/>
    <hyperlink ref="H211" r:id="rId311" display="mailto:info@greengoldbamboo.com" xr:uid="{A4DCD849-0D1F-4DAC-B910-9DD4EC885DF6}"/>
    <hyperlink ref="H212" r:id="rId312" display="mailto:info@konbac.com" xr:uid="{B12FA379-0972-4287-B406-F80F82D93930}"/>
    <hyperlink ref="I212" r:id="rId313" display="https://konbac.com/" xr:uid="{62184C1C-A985-485D-BC3C-57314391315C}"/>
    <hyperlink ref="H213" r:id="rId314" display="mailto:info@bamboohouseindia.com" xr:uid="{2F544672-8D54-40A9-9414-4CAD49C4EB60}"/>
    <hyperlink ref="I213" r:id="rId315" display="https://bamboohouseindia.com/" xr:uid="{D1A4FBE6-226D-475F-A23D-5A29EC2FFF69}"/>
    <hyperlink ref="H217" r:id="rId316" display="mailto:chairman@apeda.gov.in" xr:uid="{0E899A97-9905-4E50-94CF-12B084199001}"/>
    <hyperlink ref="I217" r:id="rId317" display="https://apeda.gov.in/" xr:uid="{D456C775-B017-4CF7-9FEF-40EC94BC9646}"/>
    <hyperlink ref="H218" r:id="rId318" display="mailto:eic@eicindia.gov.in" xr:uid="{1BFE92C0-B2AE-4641-A9FA-D3DEC4085E57}"/>
    <hyperlink ref="I218" r:id="rId319" display="https://eicindia.gov.in/" xr:uid="{EDA63BC4-9162-47BE-9F1D-71BA6C372D12}"/>
    <hyperlink ref="H219" r:id="rId320" display="mailto:gcmmf@amul.coop" xr:uid="{882DCAAE-8902-4949-864E-D2A07A603234}"/>
    <hyperlink ref="I219" r:id="rId321" display="https://amul.com/" xr:uid="{DAA24968-8D85-486C-B42A-A9A94585117F}"/>
    <hyperlink ref="H220" r:id="rId322" display="mailto:feedback@motherdairy.com" xr:uid="{0E636B8A-C7D4-4990-9A28-8753CFA80C13}"/>
    <hyperlink ref="I220" r:id="rId323" display="https://motherdairy.com/" xr:uid="{3EE53886-2233-443A-98A4-0F99729CC8E7}"/>
    <hyperlink ref="H221" r:id="rId324" display="mailto:milkfed@verka.coop" xr:uid="{A39C317B-114E-4C3C-BE15-85FC40A1E097}"/>
    <hyperlink ref="I221" r:id="rId325" display="https://verka.coop/" xr:uid="{26DC551D-7A13-423E-848D-9C06C39767A9}"/>
    <hyperlink ref="H222" r:id="rId326" display="mailto:info@paragmilkfoods.com" xr:uid="{E92B60E4-00B8-432A-A9D6-3CEA393C03C9}"/>
    <hyperlink ref="I222" r:id="rId327" display="https://paragmilkfoods.com/" xr:uid="{97FA6336-CE15-4771-AF0B-E7F0776CFE82}"/>
    <hyperlink ref="H223" r:id="rId328" display="mailto:info@anikgroup.com" xr:uid="{E8FCA6E0-B585-4D2B-9566-DC56686EA20B}"/>
    <hyperlink ref="I223" r:id="rId329" display="https://anikindustries.com/" xr:uid="{E2EEEE0C-1330-42ED-82DA-4DED7A16550E}"/>
    <hyperlink ref="H224" r:id="rId330" display="mailto:fats@allanasons.com" xr:uid="{CEF4D92D-E721-4D93-9DF3-2381D925E58A}"/>
    <hyperlink ref="I224" r:id="rId331" display="https://allanasons.com/" xr:uid="{E592844B-5BE4-4EC4-92E2-926C2C5207FD}"/>
    <hyperlink ref="I225" r:id="rId332" display="https://alkabeer.com/" xr:uid="{D89B98B1-B115-4093-B2B8-5D1B5DA7DDC0}"/>
    <hyperlink ref="I226" r:id="rId333" display="https://godrejagrovet.com/" xr:uid="{F48B72F3-C747-41BE-B26E-3AB33E671F5E}"/>
    <hyperlink ref="H227" r:id="rId334" display="mailto:director.ndri@icar.gov.in" xr:uid="{EC5A00BE-60BA-40F1-9C55-5290188A1F9F}"/>
    <hyperlink ref="I227" r:id="rId335" display="https://ndri.res.in/" xr:uid="{B670B9EA-9548-4CF8-885D-BC6A8378010A}"/>
    <hyperlink ref="H229" r:id="rId336" display="mailto:chairman@apeda.gov.in" xr:uid="{4EB18072-A8EA-4D84-8879-07B4E0F0B94A}"/>
    <hyperlink ref="I229" r:id="rId337" display="https://apeda.gov.in/" xr:uid="{E508194A-8E5F-4162-8925-3FCFFE1A22BB}"/>
    <hyperlink ref="H230" r:id="rId338" display="mailto:eic@eicindia.gov.in" xr:uid="{39E8BE45-6CA7-4455-B4D5-B1C2D43B428E}"/>
    <hyperlink ref="I230" r:id="rId339" display="https://eicindia.gov.in/" xr:uid="{82B268E0-43B3-4FA3-B621-C1231EB86C73}"/>
    <hyperlink ref="H231" r:id="rId340" display="mailto:rte@allanasons.com" xr:uid="{A40AF7A5-8BAC-4A34-B2B8-F5ECFB74E949}"/>
    <hyperlink ref="I231" r:id="rId341" display="https://allanasons.com/" xr:uid="{A0E33BAB-046B-4E8B-8798-5EB6FB77687F}"/>
    <hyperlink ref="I232" r:id="rId342" display="https://alkabeer.com/" xr:uid="{95E0702E-F803-4F97-BFAF-F559604CCE9D}"/>
    <hyperlink ref="H233" r:id="rId343" display="mailto:info@venkys.com" xr:uid="{F078D549-3F0D-421B-8965-8B95E84D2AE8}"/>
    <hyperlink ref="I233" r:id="rId344" display="https://venkys.com/" xr:uid="{3EFCFF2F-AF81-485B-86FB-9D2AC45E9170}"/>
    <hyperlink ref="H234" r:id="rId345" display="mailto:info@sumeru.net" xr:uid="{ADE3E559-D9DD-4DC0-AB65-D8F35E08AED1}"/>
    <hyperlink ref="I234" r:id="rId346" display="https://sumeru.net/" xr:uid="{57D8D9B0-5889-443F-94E3-AB20BFDBDC12}"/>
    <hyperlink ref="I235" r:id="rId347" display="https://godrejtyson.com/" xr:uid="{5A1C8610-6D59-4F7E-A79D-3728836780B4}"/>
    <hyperlink ref="H237" r:id="rId348" display="mailto:info@hyfunfoods.com" xr:uid="{41695892-0097-4F15-B4F7-859C6D1EA7C3}"/>
    <hyperlink ref="I237" r:id="rId349" display="https://hyfunfoods.com/" xr:uid="{0592010E-F65C-4875-A6B8-2652CC9D1860}"/>
    <hyperlink ref="H238" r:id="rId350" display="mailto:director.nrcmeat@icar.gov.in" xr:uid="{6BCEC913-2EA7-4C73-A491-C6CE2DBAAAB4}"/>
    <hyperlink ref="I238" r:id="rId351" display="https://nrcmeat.icar.gov.in/" xr:uid="{702ED28F-5B7E-4F12-919D-41DC4C7CD4A5}"/>
    <hyperlink ref="H240" r:id="rId352" display="mailto:chairman@apeda.gov.in" xr:uid="{628B75C7-8EF8-4C1A-BA2B-F7ED4526709F}"/>
    <hyperlink ref="I240" r:id="rId353" display="https://apeda.gov.in/" xr:uid="{FC2E4D34-62D1-41D3-848B-98AD5EEE21EA}"/>
    <hyperlink ref="I241" r:id="rId354" display="https://indiansugar.com/" xr:uid="{542A5293-DB3A-49B2-9459-8EE5E8BB0200}"/>
    <hyperlink ref="H242" r:id="rId355" display="mailto:info@dhampur.com" xr:uid="{20D70675-5D25-4856-93AA-4651640944A2}"/>
    <hyperlink ref="I242" r:id="rId356" display="https://dhampur.com/" xr:uid="{7C02794D-1ED9-4D03-9174-30BD3E37EF29}"/>
    <hyperlink ref="I243" r:id="rId357" display="https://bajajhindusthan.com/" xr:uid="{462CA242-6538-40B4-9692-ED87E629F079}"/>
    <hyperlink ref="I244" r:id="rId358" display="https://rajshreesugars.com/" xr:uid="{D7C5909A-9A43-44BA-8315-DC780CF34EAA}"/>
    <hyperlink ref="I245" r:id="rId359" display="https://eidparry.com/" xr:uid="{EB769E53-6428-45B1-A8B1-1FE98B80397C}"/>
    <hyperlink ref="H246" r:id="rId360" display="mailto:export@srisritattva.com" xr:uid="{5D9ECCE0-3E97-479E-BBA2-F2FA761B77C6}"/>
    <hyperlink ref="I246" r:id="rId361" display="https://srisritattva.com/" xr:uid="{D4FA363F-897F-4D7D-A6EE-E642E7A04292}"/>
    <hyperlink ref="H247" r:id="rId362" display="mailto:export@organicindia.com" xr:uid="{737378AB-AAB9-42A5-A22B-A4AC931432CE}"/>
    <hyperlink ref="I247" r:id="rId363" display="https://organicindia.com/" xr:uid="{FA159642-78A3-4928-A266-44093ED08D7B}"/>
    <hyperlink ref="H250" r:id="rId364" display="mailto:director@niftem.ac.in" xr:uid="{33A6C394-3D54-439E-AE6B-C3FBD9C97021}"/>
    <hyperlink ref="I250" r:id="rId365" display="https://niftem.ac.in/" xr:uid="{015E3843-483E-4A69-9645-0B8ED4CC25BD}"/>
    <hyperlink ref="H252" r:id="rId366" display="mailto:chairman@apeda.gov.in" xr:uid="{8BAB9458-F90F-43C3-9003-B89F9BF1B1E7}"/>
    <hyperlink ref="I252" r:id="rId367" display="https://apeda.gov.in/" xr:uid="{AFFC9E8B-D593-4E8A-B9C6-C2D44854F0E0}"/>
    <hyperlink ref="H253" r:id="rId368" display="mailto:campco@campco.org" xr:uid="{882AC727-6C3D-43EE-97EF-ED463DCF8A50}"/>
    <hyperlink ref="I253" r:id="rId369" display="https://campco.org/" xr:uid="{EB8CFDD4-8B02-4BCE-B5FC-F9AC2C625B78}"/>
    <hyperlink ref="I254" r:id="rId370" display="https://in.mondelezinternational.com/" xr:uid="{0187BEA4-CAAF-4BF6-A2D4-D05D0E2BF664}"/>
    <hyperlink ref="I255" r:id="rId371" display="https://nestle.in/" xr:uid="{048BB368-4A63-4EA2-85F1-C3A236119546}"/>
    <hyperlink ref="H256" r:id="rId372" display="mailto:info@lotuschocolate.com" xr:uid="{E02B7E57-5B90-4D88-90A5-5ADF0521737D}"/>
    <hyperlink ref="I256" r:id="rId373" display="https://lotuschocolate.com/" xr:uid="{2F70CF20-9009-4F33-A680-E8505E652AD0}"/>
    <hyperlink ref="I257" r:id="rId374" display="https://campco.org/" xr:uid="{72A1E5AD-CA1B-4A1B-8C55-4A9564232918}"/>
    <hyperlink ref="H258" r:id="rId375" display="mailto:export@manjilas.com" xr:uid="{5AC28AF4-CEE6-44C1-AD54-C7381CEA3B25}"/>
    <hyperlink ref="I258" r:id="rId376" display="https://doublehorse.com/" xr:uid="{FDD11AD4-59B4-4DA9-AF2B-DEE660E33446}"/>
    <hyperlink ref="I259" r:id="rId377" display="https://jbcpl.com/" xr:uid="{8873D70F-0CAC-4062-8186-CEA2DE86603F}"/>
    <hyperlink ref="H260" r:id="rId378" display="mailto:info@synthite.com" xr:uid="{643EFB38-B92A-4E11-9101-7292CA45CECC}"/>
    <hyperlink ref="I260" r:id="rId379" display="https://synthite.com/" xr:uid="{7EADBFB7-88EB-4146-A228-526ABB622ABB}"/>
    <hyperlink ref="H262" r:id="rId380" display="mailto:director.cpcri@icar.gov.in" xr:uid="{F492AF36-98DC-46F6-BF3B-CE3754337472}"/>
    <hyperlink ref="I262" r:id="rId381" display="https://cpcri.icar.gov.in/" xr:uid="{36E95782-820A-4C64-A37E-5C14D464D733}"/>
    <hyperlink ref="H264" r:id="rId382" display="mailto:chairman@apeda.gov.in" xr:uid="{A8A19620-A278-4481-9282-484FF080D28A}"/>
    <hyperlink ref="I264" r:id="rId383" display="https://apeda.gov.in/" xr:uid="{2BBD25EF-A937-4B81-B2A9-A32092F50BD6}"/>
    <hyperlink ref="I265" r:id="rId384" display="https://britannia.co.in/" xr:uid="{F98D231D-A98D-4E43-B967-9C48631EFBD9}"/>
    <hyperlink ref="H266" r:id="rId385" display="mailto:export@parle.biz" xr:uid="{EF12658F-B51C-48C9-932D-3014F2FE7A10}"/>
    <hyperlink ref="I266" r:id="rId386" display="https://parleproducts.com/" xr:uid="{BA6CCD20-24A2-4C79-91BB-EAB45DA3D7EF}"/>
    <hyperlink ref="I267" r:id="rId387" display="https://itcportal.com/" xr:uid="{87459897-18B9-4B40-B849-C6C1A4385D43}"/>
    <hyperlink ref="I268" r:id="rId388" display="https://in.mondelezinternational.com/" xr:uid="{10CF114B-D4A3-4168-BB43-61A50EFBE1D2}"/>
    <hyperlink ref="H269" r:id="rId389" display="mailto:export@unibicfoods.com" xr:uid="{26284C9D-5B62-4111-B49A-53F8E411DECA}"/>
    <hyperlink ref="I269" r:id="rId390" display="https://unibicfoods.com/" xr:uid="{48222352-3B15-4F7B-BA3B-A0F05C0CCE29}"/>
    <hyperlink ref="I270" r:id="rId391" display="https://biskfarm.com/" xr:uid="{967CF90A-F864-4780-BC05-68CD492FF1AE}"/>
    <hyperlink ref="H271" r:id="rId392" display="mailto:export@haldiram.com" xr:uid="{68AD0316-0C01-4866-AED0-F709D94F7DBE}"/>
    <hyperlink ref="I271" r:id="rId393" display="https://haldiram.com/" xr:uid="{E281800E-0167-4B37-B118-FEF735314521}"/>
    <hyperlink ref="H272" r:id="rId394" display="mailto:export@bikaji.com" xr:uid="{EFDAAABA-B973-47A1-B7C8-09882CE4653F}"/>
    <hyperlink ref="I272" r:id="rId395" display="https://bikaji.com/" xr:uid="{83A496C3-777C-4E78-B65B-2FA34E9121B7}"/>
    <hyperlink ref="I273" r:id="rId396" display="https://mtrfoods.com/" xr:uid="{22E3224F-E03D-435E-AB13-379B26D0FC63}"/>
    <hyperlink ref="H274" r:id="rId397" display="mailto:export@bikanervala.com" xr:uid="{17AA8D95-C7AC-4D89-BE13-2B4D41488E82}"/>
    <hyperlink ref="I274" r:id="rId398" display="https://bikanervala.com/" xr:uid="{7B919713-AFB7-4E46-99FF-B4F8871A46A1}"/>
    <hyperlink ref="H275" r:id="rId399" display="mailto:export@yellowdiamond.in" xr:uid="{1C411464-39BD-4AB8-881A-84EC2BBEE520}"/>
    <hyperlink ref="I275" r:id="rId400" display="https://yellowdiamond.in/" xr:uid="{D117F525-A24E-4461-9DD0-60A7E6B87C7C}"/>
    <hyperlink ref="H277" r:id="rId401" display="mailto:director@cftri.res.in" xr:uid="{A17AC87B-7AD6-486C-B76D-4ABACA350769}"/>
    <hyperlink ref="I277" r:id="rId402" display="https://cftri.res.in/" xr:uid="{140AB9CA-2F3D-4DBD-B00C-957E3D521AAF}"/>
    <hyperlink ref="H279" r:id="rId403" display="mailto:chairman@apeda.gov.in" xr:uid="{BBCAF3A8-F9D2-44A6-A4F1-FC2A97D428D5}"/>
    <hyperlink ref="I279" r:id="rId404" display="https://apeda.gov.in/" xr:uid="{C76A51DC-5C4F-4E60-86A8-ADF7E45366CF}"/>
    <hyperlink ref="H280" r:id="rId405" display="mailto:info@fieldfreshfoods.in" xr:uid="{568CA2B8-C690-4E1D-B697-AECDEBFEC15E}"/>
    <hyperlink ref="I280" r:id="rId406" display="https://delmontefoods.in/" xr:uid="{DA97FD3D-1C92-48DE-9CF3-28C2EE37E6A6}"/>
    <hyperlink ref="H281" r:id="rId407" display="mailto:info@jainfarmfresh.com" xr:uid="{8F6D65AD-4393-4997-BC86-980805495C06}"/>
    <hyperlink ref="I281" r:id="rId408" display="https://jainfarmfresh.com/" xr:uid="{FC25DA3D-C7C9-4D9F-9190-FA8D8113DEB1}"/>
    <hyperlink ref="H282" r:id="rId409" display="mailto:info@shimlahills.com" xr:uid="{1B27B190-581E-4A12-991F-2C0327D12FE5}"/>
    <hyperlink ref="I282" r:id="rId410" display="https://shimlahills.com/" xr:uid="{6CB3352E-9391-41F5-A68A-989F9E52C61E}"/>
    <hyperlink ref="H283" r:id="rId411" display="mailto:info@foodsinns.com" xr:uid="{015FAE1F-E6C2-46D4-B4E7-BD31E0F508F0}"/>
    <hyperlink ref="I283" r:id="rId412" display="https://foodsandinns.com/" xr:uid="{E8DC06B3-0542-48F8-84EA-0E1BA482C611}"/>
    <hyperlink ref="H284" r:id="rId413" display="mailto:export@mothersrecipe.com" xr:uid="{869C1B86-2ECC-4984-9A54-D487C7E83A08}"/>
    <hyperlink ref="I284" r:id="rId414" display="https://mothersrecipe.com/" xr:uid="{DB456FC0-61C9-4DA1-A5EE-8916495D9226}"/>
    <hyperlink ref="H285" r:id="rId415" display="mailto:export@nilons.com" xr:uid="{1EF86D09-8559-47E9-A153-1C7D65B4FE58}"/>
    <hyperlink ref="I285" r:id="rId416" display="https://nilons.com/" xr:uid="{3098A92C-C534-44E6-8591-E9E63813FAF8}"/>
    <hyperlink ref="H286" r:id="rId417" display="mailto:export@priyafoods.com" xr:uid="{115A35A9-74F5-40A3-B6C6-496329B4D976}"/>
    <hyperlink ref="I286" r:id="rId418" display="https://priyafoods.com/" xr:uid="{31C80F12-D21A-4D2F-8DF9-EF4C3C80AB1E}"/>
    <hyperlink ref="H287" r:id="rId419" display="mailto:info@eastern.in" xr:uid="{02CE0820-88DE-44D3-A0B1-5CB236759219}"/>
    <hyperlink ref="I287" r:id="rId420" display="https://eastern.in/" xr:uid="{BB16C69F-0A41-4366-96CA-3BF76422D8BB}"/>
    <hyperlink ref="H288" r:id="rId421" display="mailto:export@mapro.com" xr:uid="{35429547-2793-4F5F-B0DB-EB1ED84855F8}"/>
    <hyperlink ref="I288" r:id="rId422" display="https://mapro.com/" xr:uid="{24D975D3-AD44-4C23-B356-B75D73B732E9}"/>
    <hyperlink ref="H289" r:id="rId423" display="mailto:info@tropolite.com" xr:uid="{CFCA4607-D375-4C1C-BF34-1C0ED4F1FE08}"/>
    <hyperlink ref="I289" r:id="rId424" display="https://tropolite.com/" xr:uid="{62F6FCFF-75E7-43AD-8488-24CA3561D98E}"/>
    <hyperlink ref="H292" r:id="rId425" display="mailto:director.iihr@icar.gov.in" xr:uid="{BC028F37-D688-411A-97EF-96FC76E1A73A}"/>
    <hyperlink ref="I292" r:id="rId426" display="https://iihr.icar.gov.in/" xr:uid="{DB5DE42C-EAF2-4B7F-A3FE-D7078A340315}"/>
    <hyperlink ref="H294" r:id="rId427" display="mailto:chairman@apeda.gov.in" xr:uid="{DEDA3152-DBEC-4FF3-92FC-653088DCD401}"/>
    <hyperlink ref="I294" r:id="rId428" display="https://apeda.gov.in/" xr:uid="{B55A9678-FED0-43ED-AB6B-FCDF630F0D99}"/>
    <hyperlink ref="H295" r:id="rId429" display="mailto:info@fieldfreshfoods.in" xr:uid="{9EBC815A-8116-4377-8FA4-ECA65C1552AD}"/>
    <hyperlink ref="I295" r:id="rId430" display="https://delmontefoods.in/" xr:uid="{6584EFE8-A070-4265-85AC-8F4B0322C2AD}"/>
    <hyperlink ref="I296" r:id="rId431" display="https://nestle.in/" xr:uid="{EE3F6082-7791-4225-A0BB-FC5A57013412}"/>
    <hyperlink ref="I297" r:id="rId432" display="https://hul.co.in/" xr:uid="{1B57BE3F-BDE4-4A50-8104-D79FA18B615A}"/>
    <hyperlink ref="H298" r:id="rId433" display="mailto:export@capitalfoods.co.in" xr:uid="{7DAE333C-C421-4FB0-83AE-4632D0B22FD0}"/>
    <hyperlink ref="I298" r:id="rId434" display="https://capitalfoods.co.in/" xr:uid="{80F20ED4-766E-4030-BF5A-F6FEE7AC5032}"/>
    <hyperlink ref="H299" r:id="rId435" display="mailto:export@veeba.in" xr:uid="{96F74ADD-A10D-49A4-A08D-A02CF96CFA83}"/>
    <hyperlink ref="I299" r:id="rId436" display="https://veeba.in/" xr:uid="{2C264B01-5E5F-44AB-98E2-BDFBC8B78241}"/>
    <hyperlink ref="H300" r:id="rId437" display="mailto:info@cremica.in" xr:uid="{091E0241-20EE-4D76-A660-98E5B7676B24}"/>
    <hyperlink ref="I300" r:id="rId438" display="https://cremica.in/" xr:uid="{9E0762D7-8949-4D69-886F-A60B81EAA511}"/>
    <hyperlink ref="H301" r:id="rId439" display="mailto:export@hamdard.in" xr:uid="{1ADFC41A-3CA2-4903-834C-4A6F53EC45D6}"/>
    <hyperlink ref="I301" r:id="rId440" display="https://hamdard.in/" xr:uid="{578E5840-41D4-43AB-8C1C-907F07FBEE83}"/>
    <hyperlink ref="H302" r:id="rId441" display="mailto:india@symrise.com" xr:uid="{B249A3E7-3541-4D1A-812D-BFEB6D867860}"/>
    <hyperlink ref="I302" r:id="rId442" display="https://symrise.com/" xr:uid="{30CC947F-4322-4ADE-861F-DC657208F00C}"/>
    <hyperlink ref="I303" r:id="rId443" display="https://iff.com/" xr:uid="{A77B9FC5-7E65-450E-950C-48C9F048BEFB}"/>
    <hyperlink ref="I304" r:id="rId444" display="https://givaudan.com/" xr:uid="{C4BFA637-3BD7-4038-B4FD-3701B13B1869}"/>
    <hyperlink ref="I305" r:id="rId445" display="https://mane.com/" xr:uid="{1BBD98F7-CD36-48A8-89A2-6B2175E362B3}"/>
    <hyperlink ref="H306" r:id="rId446" display="mailto:info@synthite.com" xr:uid="{F84D4116-975C-463F-A89F-3239768B0478}"/>
    <hyperlink ref="I306" r:id="rId447" display="https://synthite.com/" xr:uid="{00E3123F-AC2A-4AF4-B0A4-8E9965E7D5A5}"/>
    <hyperlink ref="H307" r:id="rId448" display="mailto:director.ciphet@icar.gov.in" xr:uid="{0F6BEC8A-E061-41F4-BAB3-D5997A29CA64}"/>
    <hyperlink ref="I307" r:id="rId449" display="https://ciphet.icar.gov.in/" xr:uid="{FD9967E7-2436-458D-8C97-E72527DADB67}"/>
    <hyperlink ref="H309" r:id="rId450" display="mailto:chairman@apeda.gov.in" xr:uid="{B9508B0C-EDAC-42B1-9602-AFCAFE9A71A5}"/>
    <hyperlink ref="I309" r:id="rId451" display="https://apeda.gov.in/" xr:uid="{03ED749C-E48D-4C52-AD02-1BE173A6C62E}"/>
    <hyperlink ref="H310" r:id="rId452" display="mailto:clfma@clfma.org" xr:uid="{C7731927-0157-457F-9BB0-8FA2EC418619}"/>
    <hyperlink ref="I310" r:id="rId453" display="https://clfma.org/" xr:uid="{6F1DFF78-C970-49C3-A722-EF844E299D5B}"/>
    <hyperlink ref="I311" r:id="rId454" display="https://godrejagrovet.com/" xr:uid="{CDB8BA80-511A-407C-8B79-7E61A42F0F02}"/>
    <hyperlink ref="H312" r:id="rId455" display="mailto:avantiho@avantifeeds.com" xr:uid="{B5186E39-D20F-4904-A199-F1B760B4219F}"/>
    <hyperlink ref="I312" r:id="rId456" display="https://avantifeeds.com/" xr:uid="{56FF84CA-591F-4043-8A78-7F4144F20EDB}"/>
    <hyperlink ref="I313" r:id="rId457" display="https://cargill.co.in/" xr:uid="{4CA232F7-9658-45D8-AE7D-932DF404EBDF}"/>
    <hyperlink ref="H314" r:id="rId458" display="mailto:info@sugunafoods.com" xr:uid="{3F4ED757-A260-4189-8387-126F02368738}"/>
    <hyperlink ref="I314" r:id="rId459" display="https://sugunafoods.com/" xr:uid="{E803F134-7ADB-4325-9B52-072A15C52F00}"/>
    <hyperlink ref="H315" r:id="rId460" display="mailto:info@amritgroup.net" xr:uid="{24673898-3F6D-4656-BCBF-E4DFFC28C1CA}"/>
    <hyperlink ref="I315" r:id="rId461" display="https://amritfeeds.com/" xr:uid="{02F9F37B-F0D8-40CF-A222-1CB7CFD22E04}"/>
    <hyperlink ref="H316" r:id="rId462" display="mailto:info@ibgroupco.in" xr:uid="{95E44E77-413D-4EB9-8AE5-7B2BF89EB77B}"/>
    <hyperlink ref="I316" r:id="rId463" display="https://ibgroup.co.in/" xr:uid="{C6AD0780-13E3-44ED-A47D-2DFC116C35A6}"/>
    <hyperlink ref="I317" r:id="rId464" display="https://prestigefeed.com/" xr:uid="{BB457F79-8B1E-4A5A-99D3-66FCE63876AE}"/>
    <hyperlink ref="H320" r:id="rId465" display="mailto:sopa@sopa.org" xr:uid="{8A14A55A-9337-45B3-B3F8-1E2C4ED0755B}"/>
    <hyperlink ref="I320" r:id="rId466" display="https://sopa.org/" xr:uid="{411EC151-CDB0-4211-B154-32681BF4F468}"/>
    <hyperlink ref="H321" r:id="rId467" display="mailto:director.nianp@icar.gov.in" xr:uid="{2DCEE3C0-A460-46B5-903F-B98729B4D7AF}"/>
    <hyperlink ref="I321" r:id="rId468" display="https://nianp.icar.gov.in/" xr:uid="{00F26BDF-2505-437D-ABEA-731B200F5AC1}"/>
    <hyperlink ref="H335" r:id="rId469" display="mailto:cle@leatherindia.org" xr:uid="{5677E904-B430-4626-B981-0B609F3F4D8D}"/>
    <hyperlink ref="I335" r:id="rId470" display="https://leatherindia.org/" xr:uid="{E2F292E5-99A5-42BD-9CCD-36234A076356}"/>
    <hyperlink ref="H336" r:id="rId471" display="mailto:cleknp@leatherindia.org" xr:uid="{549D2122-5F6E-442E-BAD7-06FF7827E804}"/>
    <hyperlink ref="I336" r:id="rId472" display="https://leatherindia.org/" xr:uid="{241B30BE-0DE7-48AC-8062-3745F22F5246}"/>
    <hyperlink ref="H337" r:id="rId473" display="mailto:clekol@leatherindia.org" xr:uid="{35C42BC8-DDD1-4D21-89EB-ADD365E602D9}"/>
    <hyperlink ref="I337" r:id="rId474" display="https://leatherindia.org/" xr:uid="{A02BD9B8-4DA6-46A8-8FEC-E477401DDBCD}"/>
    <hyperlink ref="H338" r:id="rId475" display="mailto:info@superhousegroup.com" xr:uid="{D533F883-CCC4-4D20-905C-F66CE48C034E}"/>
    <hyperlink ref="I338" r:id="rId476" display="https://superhousegroup.com/" xr:uid="{A00499DE-F3FC-49B9-8316-C0326BF19B77}"/>
    <hyperlink ref="H339" r:id="rId477" display="mailto:leather@tata.com" xr:uid="{A9BB1077-870D-4D1E-B5FE-BD2E1D4C36B4}"/>
    <hyperlink ref="I339" r:id="rId478" display="https://tatainternational.com/" xr:uid="{F7471751-5272-4B66-B9E0-D1B0AC56DDB1}"/>
    <hyperlink ref="H340" r:id="rId479" display="mailto:info@mirza.co.in" xr:uid="{F82E27F2-9E44-4AE4-AE08-961E09232947}"/>
    <hyperlink ref="I340" r:id="rId480" display="https://mirza.co.in/" xr:uid="{CAE7B24A-FD23-4910-A05E-AC9D6998E3B6}"/>
    <hyperlink ref="H341" r:id="rId481" display="mailto:info@farida.com" xr:uid="{3E702A34-77D8-460D-8B98-899E49AAADC7}"/>
    <hyperlink ref="I341" r:id="rId482" display="https://farida.com/" xr:uid="{A298BF59-4022-442C-814E-D59CDFD78BD7}"/>
    <hyperlink ref="I342" r:id="rId483" display="https://rahmangroup.com/" xr:uid="{B90D5985-C517-4E60-8971-1B5B550E8953}"/>
    <hyperlink ref="H343" r:id="rId484" display="mailto:info@khexports.com" xr:uid="{2970A225-B54B-4061-BE98-0B11C5382931}"/>
    <hyperlink ref="I343" r:id="rId485" display="https://khexports.com/" xr:uid="{0D24BA76-312A-425E-8954-199A51DCBEF9}"/>
    <hyperlink ref="H347" r:id="rId486" display="mailto:director@clri.org" xr:uid="{22B11982-DC78-4D27-A819-32D593F86A6F}"/>
    <hyperlink ref="I347" r:id="rId487" display="https://clri.org/" xr:uid="{2BD68B99-29D2-4391-B617-75159BA6A3D9}"/>
    <hyperlink ref="H349" r:id="rId488" display="mailto:cle@leatherindia.org" xr:uid="{16CD1BC4-B748-4F14-9FF2-B2E04AB219B9}"/>
    <hyperlink ref="I349" r:id="rId489" display="https://leatherindia.org/" xr:uid="{C6D90D24-CEE7-4C61-A76A-23850C70666D}"/>
    <hyperlink ref="H350" r:id="rId490" display="mailto:clekol@leatherindia.org" xr:uid="{2603263A-15FD-41FF-8104-67821C661367}"/>
    <hyperlink ref="I350" r:id="rId491" display="https://leatherindia.org/" xr:uid="{25DA2CB1-D867-413C-AE37-854E8EDACF35}"/>
    <hyperlink ref="H351" r:id="rId492" display="mailto:leatherproducts@tata.com" xr:uid="{2DBA6596-223A-49C1-B1DA-076A9D42481E}"/>
    <hyperlink ref="I351" r:id="rId493" display="https://tatainternational.com/" xr:uid="{B36601F1-8564-4E1B-9532-9B185E950F6E}"/>
    <hyperlink ref="H352" r:id="rId494" display="mailto:info@vipindustries.co.in" xr:uid="{BAC773B2-F10D-40CE-95EC-BA7EA009D673}"/>
    <hyperlink ref="I352" r:id="rId495" display="https://vipindustries.com/" xr:uid="{33910604-92CC-4E7E-88C8-55FBFA517E05}"/>
    <hyperlink ref="H353" r:id="rId496" display="mailto:export@damilano.com" xr:uid="{15769EAE-B802-490F-A705-955C25DE77AC}"/>
    <hyperlink ref="I353" r:id="rId497" display="https://damilano.com/" xr:uid="{7C3BB318-8A49-4180-B2AF-97805B722E39}"/>
    <hyperlink ref="H354" r:id="rId498" display="mailto:export@hidesign.com" xr:uid="{6A834009-6795-4FB9-876D-7EF4B87E4BB7}"/>
    <hyperlink ref="I354" r:id="rId499" display="https://hidesign.com/" xr:uid="{214D1619-1F62-44A7-87E3-8149905E985B}"/>
    <hyperlink ref="I355" r:id="rId500" display="https://holii.in/" xr:uid="{31C13F8A-C01E-49B3-813A-7C0062175ADC}"/>
    <hyperlink ref="H357" r:id="rId501" display="mailto:goods@farida.com" xr:uid="{0DC25CB4-6007-47AA-BBD8-E6DD9384B92E}"/>
    <hyperlink ref="I357" r:id="rId502" display="https://farida.com/" xr:uid="{6DCC2F56-F96C-4FE0-8521-A6BC46D5D903}"/>
    <hyperlink ref="I358" r:id="rId503" display="https://libertyleathergoods.com/" xr:uid="{FD04D2D5-6CB2-48F3-B9ED-28267C765C2A}"/>
    <hyperlink ref="H361" r:id="rId504" display="mailto:director@clri.org" xr:uid="{D9A534F9-D39B-487B-AF0A-C163E35A70BA}"/>
    <hyperlink ref="I361" r:id="rId505" display="https://clri.org/" xr:uid="{135F1A7B-9FC6-451E-ABAD-B8DF842197AE}"/>
    <hyperlink ref="H363" r:id="rId506" display="mailto:cle@leatherindia.org" xr:uid="{C113A35A-1220-417A-8394-7C5B5A7018DF}"/>
    <hyperlink ref="I363" r:id="rId507" display="https://leatherindia.org/" xr:uid="{ED5B788B-36D8-4474-BD6D-F211588E0ADF}"/>
    <hyperlink ref="H364" r:id="rId508" display="mailto:info@epch.in" xr:uid="{77D4333C-17DF-469A-B14A-7B9194C3B4CE}"/>
    <hyperlink ref="I364" r:id="rId509" display="https://epch.in/" xr:uid="{D8197FD9-5D19-4807-8857-7D7F9895E010}"/>
    <hyperlink ref="H365" r:id="rId510" display="mailto:info@hindustanfurs.com" xr:uid="{D12C8F50-A22B-42AF-897E-64C40A902DBA}"/>
    <hyperlink ref="I367" r:id="rId511" display="https://epch.in/" xr:uid="{5A8B9264-4D7B-410F-8517-C7039BB75667}"/>
    <hyperlink ref="I368" r:id="rId512" display="https://bhartiyainternational.com/" xr:uid="{2BE87508-ABFC-42C9-A011-1E9BD8A628D7}"/>
    <hyperlink ref="H369" r:id="rId513" display="mailto:director@clri.org" xr:uid="{1BC91732-B0A7-4812-A30F-E864C9D00654}"/>
    <hyperlink ref="I369" r:id="rId514" display="https://clri.org/" xr:uid="{38BA1AEC-3608-4D8A-8E81-C33EC4ECAB60}"/>
    <hyperlink ref="H371" r:id="rId515" display="mailto:info@capexil.org" xr:uid="{4730700E-C788-4A8C-9BB2-2BBCEE9575BB}"/>
    <hyperlink ref="I371" r:id="rId516" display="https://capexil.org/" xr:uid="{2CEC11A9-64A8-40BF-A68E-6C2D41C29410}"/>
    <hyperlink ref="H372" r:id="rId517" display="mailto:info@epch.in" xr:uid="{3E3A67D1-99D8-42D7-A335-78E28DCC02E2}"/>
    <hyperlink ref="I372" r:id="rId518" display="https://epch.in/" xr:uid="{7C77A0E3-FE40-4AE3-BD37-7CE4E2EC2BBF}"/>
    <hyperlink ref="H373" r:id="rId519" display="mailto:export@centuryply.com" xr:uid="{7F10FE3E-5C9E-4F8D-BADF-EB78A4C40FEE}"/>
    <hyperlink ref="I373" r:id="rId520" display="https://centuryply.com/" xr:uid="{9B7557C6-5B7C-42EC-89ED-9C3C09622B55}"/>
    <hyperlink ref="H374" r:id="rId521" display="mailto:export@greenply.com" xr:uid="{0279864A-71F4-4D35-8707-71E04AAC7D53}"/>
    <hyperlink ref="I374" r:id="rId522" display="https://greenply.com/" xr:uid="{5A4524F8-C8FB-41BB-B211-49575631BFC9}"/>
    <hyperlink ref="H376" r:id="rId523" display="mailto:export@archidply.com" xr:uid="{3EEB8CBA-6352-4688-B7F6-EACE818B36F8}"/>
    <hyperlink ref="I376" r:id="rId524" display="https://archidply.com/" xr:uid="{8F90ED44-808F-4D3B-963B-520ED66BD580}"/>
    <hyperlink ref="H377" r:id="rId525" display="mailto:export@duroply.in" xr:uid="{B736C1A6-435C-4A19-9881-8D3C44FC16E0}"/>
    <hyperlink ref="I377" r:id="rId526" display="https://duroply.in/" xr:uid="{03CC0F91-537E-4FDC-AB94-B5226D8DABE0}"/>
    <hyperlink ref="H378" r:id="rId527" display="mailto:export@rushil.com" xr:uid="{19E73ECE-3997-4479-B0BB-DCB4E5AFF622}"/>
    <hyperlink ref="I378" r:id="rId528" display="https://rushil.com/" xr:uid="{4512F452-D421-454C-9065-46BBA3F69C53}"/>
    <hyperlink ref="I379" r:id="rId529" display="https://mangalamtimber.com/" xr:uid="{3F5877C5-0503-4838-89AE-53506999217C}"/>
    <hyperlink ref="H382" r:id="rId530" display="mailto:director_iwst@icar.gov.in" xr:uid="{26E20F5D-15E2-4049-AE95-D9FE65B4920A}"/>
    <hyperlink ref="I382" r:id="rId531" display="https://iwst.icar.gov.in/" xr:uid="{1CE79B1B-82C8-49D8-942B-BA6EED2C6100}"/>
    <hyperlink ref="H384" r:id="rId532" display="mailto:info@capexil.in" xr:uid="{8588E4D3-A0D0-47D6-91C4-6ED313FB4F89}"/>
    <hyperlink ref="I384" r:id="rId533" display="https://capexil.org/" xr:uid="{2EC7DFDE-4B9C-444D-969B-2F843E202D2D}"/>
    <hyperlink ref="H385" r:id="rId534" display="mailto:info@hindustancork.com" xr:uid="{066743FB-58C1-4E68-BF99-7CD78AF29A4E}"/>
    <hyperlink ref="H391" r:id="rId535" display="mailto:info@epch.in" xr:uid="{FDFE7E40-7E50-4BD8-9163-B8DAF0B3D64C}"/>
    <hyperlink ref="I391" r:id="rId536" display="https://epch.in/" xr:uid="{EB7EB5F9-681B-4F75-9147-F9EC76BECFD9}"/>
    <hyperlink ref="H392" r:id="rId537" display="mailto:info@cbtc.org.in" xr:uid="{414A86B7-EE34-4309-99C3-BC2E85247024}"/>
    <hyperlink ref="I392" r:id="rId538" display="https://cbtc.org.in/" xr:uid="{356BA239-F338-43B9-8403-7930E1D1A8AD}"/>
    <hyperlink ref="H393" r:id="rId539" display="mailto:tribac.tripura@gmail.com" xr:uid="{AB9372CD-80EE-4FB2-92A5-7B9E84CABCD3}"/>
    <hyperlink ref="H396" r:id="rId540" display="mailto:export@basketsofindia.com" xr:uid="{A0E47BFF-D8A9-4326-BE87-254DD4D7270B}"/>
    <hyperlink ref="I396" r:id="rId541" display="https://basketsofindia.com/" xr:uid="{09DC3957-C8CD-450F-9293-4EBC9D4DAB94}"/>
    <hyperlink ref="H397" r:id="rId542" display="mailto:info@greenkraftindia.com" xr:uid="{95BE1571-C4FE-4ED4-BEB9-9FA01666EA73}"/>
    <hyperlink ref="H399" r:id="rId543" display="mailto:ksbcl@keralabamboo.com" xr:uid="{18152AA6-75E9-477A-8346-E14D0ACE4DE2}"/>
    <hyperlink ref="H402" r:id="rId544" display="mailto:info@capexil.in" xr:uid="{63B21989-A13E-4AEC-A7D0-461CF366A014}"/>
    <hyperlink ref="I402" r:id="rId545" display="https://capexil.org/" xr:uid="{95C8E122-8E57-46C2-9950-D3937654FC65}"/>
    <hyperlink ref="H403" r:id="rId546" display="mailto:ipma@ipma.co.in" xr:uid="{09D89904-9573-4845-B809-E10E654E197D}"/>
    <hyperlink ref="I403" r:id="rId547" display="https://ipma.co.in/" xr:uid="{4869F437-DA9A-4197-BE66-681F808EA97A}"/>
    <hyperlink ref="I404" r:id="rId548" display="https://avanthagroup.com/" xr:uid="{255DAD8A-DA5B-4EC1-8E05-3AD62A3FDDE6}"/>
    <hyperlink ref="H405" r:id="rId549" display="mailto:jkpaper@jkmail.com" xr:uid="{1F2058C7-9676-4020-8D8A-141974AE51E9}"/>
    <hyperlink ref="I405" r:id="rId550" display="https://jkpaper.com/" xr:uid="{B536BFC3-9740-4A87-9EE6-4F519E2F72B6}"/>
    <hyperlink ref="H406" r:id="rId551" display="mailto:export@wcpmltd.com" xr:uid="{55DD0431-BE4D-430E-A12D-A53290DB4ADE}"/>
    <hyperlink ref="I406" r:id="rId552" display="https://westcoastpaper.com/" xr:uid="{4CB00B76-4F85-4323-9949-73028BA50D51}"/>
    <hyperlink ref="H407" r:id="rId553" display="mailto:export@tnpl.co.in" xr:uid="{DEFF8F5D-BB3A-4078-A00E-00A9874D4A66}"/>
    <hyperlink ref="I407" r:id="rId554" display="https://tnpl.com/" xr:uid="{348A3A0E-A5D1-4A11-AA08-53360C7721C2}"/>
    <hyperlink ref="H408" r:id="rId555" display="mailto:export@spbltd.com" xr:uid="{909D07A8-2BFD-4944-A2D0-BBBACC3C4CD8}"/>
    <hyperlink ref="I408" r:id="rId556" display="https://spbltd.com/" xr:uid="{95BE1DF6-BCFB-48BF-AB4E-974589D2D151}"/>
    <hyperlink ref="I409" r:id="rId557" display="https://itcportal.com/" xr:uid="{4467C551-7D31-4B80-A86C-7C2D94F750A1}"/>
    <hyperlink ref="I410" r:id="rId558" display="https://orientpaperindia.com/" xr:uid="{C9539E3D-964A-4A09-9EE6-9A273B392B2D}"/>
    <hyperlink ref="H411" r:id="rId559" display="mailto:export@yashpakka.com" xr:uid="{D9ACB9ED-DA65-4553-9C67-8AF3441C9178}"/>
    <hyperlink ref="I411" r:id="rId560" display="https://yashpakka.com/" xr:uid="{2175324E-2366-4548-938C-54E41FDADA0B}"/>
    <hyperlink ref="H413" r:id="rId561" display="mailto:director@cppri.res.in" xr:uid="{9A4351B7-51F1-4E2F-ADBF-271BFE1BCBF9}"/>
    <hyperlink ref="I413" r:id="rId562" display="https://cppri.res.in/" xr:uid="{42BA904E-8B8B-4935-B5F0-21178EFCD341}"/>
    <hyperlink ref="H415" r:id="rId563" display="mailto:info@capexil.in" xr:uid="{5E18538A-ECC8-4D8F-B6CD-3EFC3EEE3739}"/>
    <hyperlink ref="I415" r:id="rId564" display="https://capexil.org/" xr:uid="{B0B7E76B-26BC-4BF9-8C74-CB149A5068DC}"/>
    <hyperlink ref="H416" r:id="rId565" display="mailto:ipma@ipma.co.in" xr:uid="{7DCD1E95-B91F-4240-9EC7-99E7D3C66A0F}"/>
    <hyperlink ref="I416" r:id="rId566" display="https://ipma.co.in/" xr:uid="{F550BCEC-D54D-468B-83FA-0CBDFB45A42F}"/>
    <hyperlink ref="H417" r:id="rId567" display="mailto:jkpaper@jkmail.com" xr:uid="{CDC688CB-03CE-4C46-B162-0D5F3D4E9621}"/>
    <hyperlink ref="I417" r:id="rId568" display="https://jkpaper.com/" xr:uid="{1D5E7CEA-9E1C-4F2E-B794-0DA4D2D2B355}"/>
    <hyperlink ref="I418" r:id="rId569" display="https://avanthagroup.com/" xr:uid="{74AFB378-B14D-4296-8B01-9BCB1CA29115}"/>
    <hyperlink ref="H419" r:id="rId570" display="mailto:export@wcpmltd.com" xr:uid="{33FB82C9-879D-4D73-A724-DA7E059EFBDD}"/>
    <hyperlink ref="I419" r:id="rId571" display="https://westcoastpaper.com/" xr:uid="{CFD4590B-E3A9-4342-BC32-F5D5ECB8138C}"/>
    <hyperlink ref="H420" r:id="rId572" display="mailto:export@tnpl.co.in" xr:uid="{E508E8CB-674C-4495-9F52-BAE6BB12204B}"/>
    <hyperlink ref="I420" r:id="rId573" display="https://tnpl.com/" xr:uid="{0FC16F27-7CD9-4A9A-AD72-AA5A126AFDB6}"/>
    <hyperlink ref="I421" r:id="rId574" display="https://itcportal.com/" xr:uid="{AA5277D3-BD7F-4519-8F66-742866C5114C}"/>
    <hyperlink ref="H422" r:id="rId575" display="mailto:export@spbltd.com" xr:uid="{AE6EAE56-118D-4DB2-A949-FF0DDD7C0574}"/>
    <hyperlink ref="I422" r:id="rId576" display="https://spbltd.com/" xr:uid="{75DE0EF1-C136-4544-8691-B490E5DA72DF}"/>
    <hyperlink ref="I423" r:id="rId577" display="https://orientpaperindia.com/" xr:uid="{E9EFB0B2-976E-41BD-A96E-6BBB2184505F}"/>
    <hyperlink ref="H424" r:id="rId578" display="mailto:export@nragarwal.com" xr:uid="{03CEA9BE-5610-4B66-9F37-BE050E14292C}"/>
    <hyperlink ref="I424" r:id="rId579" display="https://nragarwal.com/" xr:uid="{FB0C1E8D-1A28-435D-85EE-0BD8C9D07B6A}"/>
    <hyperlink ref="H425" r:id="rId580" display="mailto:export@emamipaper.in" xr:uid="{671CF1B1-5352-4BE1-A5D2-5160856A7CD1}"/>
    <hyperlink ref="I425" r:id="rId581" display="https://emamipaper.in/" xr:uid="{8B7D8C40-ACA8-4867-AFD1-3C6F587E992B}"/>
    <hyperlink ref="I426" r:id="rId582" display="https://ipappm.com/" xr:uid="{26AAB36B-10DF-4533-B870-6DE2A58D30F4}"/>
    <hyperlink ref="H427" r:id="rId583" display="mailto:director@cppri.res.in" xr:uid="{47EC4106-D359-4211-AD2F-3008EAFF5D2C}"/>
    <hyperlink ref="I427" r:id="rId584" display="https://cppri.res.in/" xr:uid="{813481AA-1068-4361-ACC2-C42729F239F5}"/>
    <hyperlink ref="H429" r:id="rId585" display="mailto:info@capexil.in" xr:uid="{1A7CDD90-A4F0-4249-A97A-39A62013B447}"/>
    <hyperlink ref="I429" r:id="rId586" display="https://capexil.org/" xr:uid="{FE4DFEC6-D700-4B34-A51E-26CBCC32A871}"/>
    <hyperlink ref="H430" r:id="rId587" display="mailto:info@fipindia.org" xr:uid="{95E4A3B1-034D-4F2A-BA6A-6E51F204CDA0}"/>
    <hyperlink ref="I430" r:id="rId588" display="https://fipindia.org/" xr:uid="{240EE5D8-D1D6-4A49-B176-7E49939E7AFF}"/>
    <hyperlink ref="H431" r:id="rId589" display="mailto:export@thomsonpress.com" xr:uid="{35523884-EB36-430E-A6A8-EC71B4CD4C0B}"/>
    <hyperlink ref="I431" r:id="rId590" display="https://thomsonpress.com/" xr:uid="{6D321526-9967-4645-8611-8A59C4D4BCB2}"/>
    <hyperlink ref="H432" r:id="rId591" display="mailto:export@replika.in" xr:uid="{B4EF41A1-4886-46A3-BACB-1A061F16E7D4}"/>
    <hyperlink ref="I432" r:id="rId592" display="https://replikapress.com/" xr:uid="{670CA5EB-7C12-4FBB-9C1D-410F9B098B98}"/>
    <hyperlink ref="H433" r:id="rId593" display="mailto:export@manipaltechnologies.com" xr:uid="{BB8D1BF6-E320-4045-8AF6-79A51824C534}"/>
    <hyperlink ref="I433" r:id="rId594" display="https://manipaltechnologies.com/" xr:uid="{E67415C6-979C-42AC-BE8F-A0B992CCE3EE}"/>
    <hyperlink ref="H434" r:id="rId595" display="mailto:export@parksonsgraphics.com" xr:uid="{D70DAC4A-0BC1-45DC-BE83-2611C5E87586}"/>
    <hyperlink ref="I434" r:id="rId596" display="https://parksonsgraphics.com/" xr:uid="{3F9F3AA3-DF01-46B8-8A53-901A9D380385}"/>
    <hyperlink ref="H435" r:id="rId597" display="mailto:export@nutechbooks.com" xr:uid="{4B748B70-D1D2-4BED-87F4-A1C7D81CD256}"/>
    <hyperlink ref="I435" r:id="rId598" display="https://nutechbooks.com/" xr:uid="{756F4EB1-2E96-4089-BA4E-9DEA0644DD2D}"/>
    <hyperlink ref="H436" r:id="rId599" display="mailto:export@gopsons.com" xr:uid="{9A807857-76FC-44B2-BCFE-7C665CDD6808}"/>
    <hyperlink ref="I436" r:id="rId600" display="https://gopsons.com/" xr:uid="{44E6B59A-CE51-42D2-B232-1CB28A5D547C}"/>
    <hyperlink ref="I437" r:id="rId601" display="https://brijbasi.com/" xr:uid="{1B8DD7FC-6263-4EF7-A3D5-0DBA4CE73C8B}"/>
    <hyperlink ref="I439" r:id="rId602" display="https://ficci.in/" xr:uid="{79FC70F4-5966-4FE3-ACA4-05875BEBCB06}"/>
    <hyperlink ref="H441" r:id="rId603" display="mailto:csb@csb.gov.in" xr:uid="{DE48D260-CB40-4374-8A9E-2C5759F9620B}"/>
    <hyperlink ref="I441" r:id="rId604" display="https://csb.gov.in/" xr:uid="{0B3D3EF9-8DDD-493D-852C-47DE9F95BE9D}"/>
    <hyperlink ref="H442" r:id="rId605" display="mailto:sepc@csb.gov.in" xr:uid="{CD9A1A07-5049-43F1-B50C-5AD744ADFF8A}"/>
    <hyperlink ref="I442" r:id="rId606" display="https://csb.gov.in/" xr:uid="{44629F3C-F13F-473F-9E62-24FA5559C5FF}"/>
    <hyperlink ref="H443" r:id="rId607" display="mailto:isepc@isepcindia.com" xr:uid="{B8C80609-C415-451E-B23C-DA32C7649EE9}"/>
    <hyperlink ref="I443" r:id="rId608" display="https://isepcindia.com/" xr:uid="{5D795538-3B96-4DE4-9839-BE24AC7596E5}"/>
    <hyperlink ref="I444" r:id="rId609" display="https://ksmb.karnataka.gov.in/" xr:uid="{4336F33F-0790-4B33-A572-035BAE0D083D}"/>
    <hyperlink ref="I445" r:id="rId610" display="https://himcrafts.nic.in/" xr:uid="{5F041BF9-5893-465F-B3E3-1916E6A32BCB}"/>
    <hyperlink ref="H446" r:id="rId611" display="mailto:jharcraft@jharkhand.gov.in" xr:uid="{8F7C3AAD-5F80-4CC6-811D-0570CB0BB60A}"/>
    <hyperlink ref="I446" r:id="rId612" display="https://jharcraft.in/" xr:uid="{28D00637-7FCF-4A33-832F-FCF1F2F32796}"/>
    <hyperlink ref="H448" r:id="rId613" display="mailto:export@reshamandi.com" xr:uid="{9B3D9375-9DBE-46E9-B362-229B227B5AE2}"/>
    <hyperlink ref="I448" r:id="rId614" display="https://reshamandi.com/" xr:uid="{8551186B-7D0D-43F7-AA64-DC008BF37C38}"/>
    <hyperlink ref="H449" r:id="rId615" display="mailto:ksicsilk@ksicsilk.com" xr:uid="{EF58F9CD-1602-405F-AA25-8B1E11E33885}"/>
    <hyperlink ref="I449" r:id="rId616" display="https://ksicsilk.com/" xr:uid="{2BE42754-EA49-4770-9F32-639B9E3AF258}"/>
    <hyperlink ref="H450" r:id="rId617" display="mailto:silkmark@csb.gov.in" xr:uid="{D1841558-8DEF-4813-A6D4-BDE142993703}"/>
    <hyperlink ref="I450" r:id="rId618" display="https://silkmarkindia.com/" xr:uid="{CEB1790C-08D8-41BB-BDD4-8B6568EC322D}"/>
    <hyperlink ref="H452" r:id="rId619" display="mailto:info@wwepcindia.com" xr:uid="{E0AC5B94-48E9-42AC-AD0C-DC79B1995C48}"/>
    <hyperlink ref="I452" r:id="rId620" display="https://wwepcindia.com/" xr:uid="{6E836D0C-4B25-43E9-BF27-86015A507418}"/>
    <hyperlink ref="H453" r:id="rId621" display="mailto:cwdbjodhpur@gmail.com" xr:uid="{37C07432-274B-4F1B-8DBE-5A4E9D6019AC}"/>
    <hyperlink ref="I453" r:id="rId622" display="https://cwdb.gov.in/" xr:uid="{511B4D67-F668-40C0-8D23-A90C06589694}"/>
    <hyperlink ref="H454" r:id="rId623" display="mailto:bhuttico@gmail.com" xr:uid="{642D1BB9-EFC0-4ACF-ADF7-0C56E2B785A9}"/>
    <hyperlink ref="I454" r:id="rId624" display="https://bhuttico.com/" xr:uid="{F8E9B28C-75BC-471D-8470-21EB780B55B7}"/>
    <hyperlink ref="H455" r:id="rId625" display="mailto:rajwool@rajasthan.gov.in" xr:uid="{F3077931-C963-4C66-A165-152A03039064}"/>
    <hyperlink ref="H457" r:id="rId626" display="mailto:srk@srkexports.com" xr:uid="{032E57A3-170F-4DD5-8812-A3E9D1FAAFD3}"/>
    <hyperlink ref="I457" r:id="rId627" display="https://srkexports.com/" xr:uid="{EE28C5F9-EAB9-4708-8F0D-5CB19EBC5FC7}"/>
    <hyperlink ref="H458" r:id="rId628" display="mailto:info@wooltop.in" xr:uid="{5FA1834D-A5ED-4653-B765-1D2E4F771FCC}"/>
    <hyperlink ref="H462" r:id="rId629" display="mailto:cci@cotcorp.com" xr:uid="{AC069385-7AB2-4474-B2EC-B53FFA5A7231}"/>
    <hyperlink ref="I462" r:id="rId630" display="https://cotcorp.org.in/" xr:uid="{817FD265-DD64-46D8-AC04-11CA9D3BBAEE}"/>
    <hyperlink ref="H463" r:id="rId631" display="mailto:secy.texcom@nic.in" xr:uid="{5A3AF5BE-75ED-487F-A6B3-32054FC9AEDE}"/>
    <hyperlink ref="I463" r:id="rId632" display="https://textilescommittee.nic.in/" xr:uid="{52D7DACA-22C3-47CF-BB96-E6AC1B55A9A6}"/>
    <hyperlink ref="H464" r:id="rId633" display="mailto:cai@caionline.in" xr:uid="{9EF90209-ECEC-410E-9451-AD9D31787326}"/>
    <hyperlink ref="I464" r:id="rId634" display="https://caionline.in/" xr:uid="{1A65308B-815F-4B18-BE17-66E3B9B0505F}"/>
    <hyperlink ref="H466" r:id="rId635" display="mailto:export@vardhman.com" xr:uid="{9A440C3C-D0CE-46E4-8365-310A2EA9877B}"/>
    <hyperlink ref="I466" r:id="rId636" display="https://vardhman.com/" xr:uid="{BCB0BE21-E1F4-4D27-8DEA-BCE19AFB0172}"/>
    <hyperlink ref="H467" r:id="rId637" display="mailto:export@tridentindia.com" xr:uid="{852529A3-BCF1-40CB-8F6C-A79BDA36FE1F}"/>
    <hyperlink ref="I467" r:id="rId638" display="https://tridentindia.com/" xr:uid="{AE8EAE88-0D23-4F8F-AA4D-F79359D4519F}"/>
    <hyperlink ref="H468" r:id="rId639" display="mailto:export@nitinspinners.com" xr:uid="{50CFB808-0A5E-443E-AE5B-E1ED19FE860F}"/>
    <hyperlink ref="I468" r:id="rId640" display="https://nitinspinners.com/" xr:uid="{9C241282-E264-4BEC-BA53-BEFC1E6906DF}"/>
    <hyperlink ref="H469" r:id="rId641" display="mailto:export@owmnahar.com" xr:uid="{4E86290C-AD9A-4C51-B3E8-97DAC797E18E}"/>
    <hyperlink ref="I469" r:id="rId642" display="https://owmnahar.com/" xr:uid="{1377D095-E44F-47C4-A9FC-A05B64655EE9}"/>
    <hyperlink ref="H470" r:id="rId643" display="mailto:export@kprmill.com" xr:uid="{7DF86F31-F0A4-48D3-B9E0-885C2BB060B3}"/>
    <hyperlink ref="I470" r:id="rId644" display="https://kprmilllimited.com/" xr:uid="{00130EB5-50B9-4564-87DE-24C8FEAFCAE8}"/>
    <hyperlink ref="I471" r:id="rId645" display="https://welspun.com/" xr:uid="{7B88DD9C-E4E9-4D90-9E25-74F08E579A19}"/>
    <hyperlink ref="I474" r:id="rId646" display="https://dac.gov.in/" xr:uid="{8BFAE724-88B0-4A09-A044-B2EFEB8B0DAE}"/>
    <hyperlink ref="H476" r:id="rId647" display="mailto:njb@njbindia.org" xr:uid="{F49B65C0-8941-4CC5-BE16-697FA3082419}"/>
    <hyperlink ref="I476" r:id="rId648" display="https://jute.com/" xr:uid="{EBDD71D0-CE18-4053-818B-2E1F37018C59}"/>
    <hyperlink ref="H477" r:id="rId649" display="mailto:ijira@ijira.org" xr:uid="{B04F147C-1D6C-4C3B-8246-363DE47D1200}"/>
    <hyperlink ref="I477" r:id="rId650" display="https://ijira.org/" xr:uid="{BA66B31A-BBFB-41C9-97AB-CAD2F9377FC1}"/>
    <hyperlink ref="H478" r:id="rId651" display="mailto:jci@jci.gov.in" xr:uid="{5D8A5C04-D4EE-440F-8919-B3FFDCAB95AF}"/>
    <hyperlink ref="I478" r:id="rId652" display="https://jci.gov.in/" xr:uid="{DE213833-AF16-4FEA-B69D-D8A6D0E08812}"/>
    <hyperlink ref="H479" r:id="rId653" display="mailto:gloster@glosterjute.com" xr:uid="{DA886F08-714C-4818-BAA0-043B5148D452}"/>
    <hyperlink ref="I479" r:id="rId654" display="https://glosterjute.com/" xr:uid="{1887178D-18F8-4B97-AC6F-BD987235CFBF}"/>
    <hyperlink ref="I480" r:id="rId655" display="https://birlacorporation.com/" xr:uid="{C8E9C66B-F781-4630-843F-A0FFE3A412D6}"/>
    <hyperlink ref="H481" r:id="rId656" display="mailto:info@ludlowjute.com" xr:uid="{097ED5FE-4ADD-43F6-AE16-55B79E16AA54}"/>
    <hyperlink ref="I481" r:id="rId657" display="https://ludlowjute.com/" xr:uid="{CE52A83E-E1F2-4A1E-9EC1-8D0096445CC0}"/>
    <hyperlink ref="I482" r:id="rId658" display="https://aichampdany.com/" xr:uid="{364BDA39-2F0A-4339-A86B-C8DD21D0AD67}"/>
    <hyperlink ref="I483" r:id="rId659" display="https://cheviotjute.com/" xr:uid="{DFB29FF8-F37D-4A9F-B57E-686E119E71EB}"/>
    <hyperlink ref="H484" r:id="rId660" display="mailto:mrlexports@mrljute.com" xr:uid="{11E9A054-021C-4EE6-AA66-1975B3006BF0}"/>
    <hyperlink ref="I484" r:id="rId661" display="https://mrljute.com/" xr:uid="{DD3F1E7F-F1B1-42CF-B62F-212A65F900B1}"/>
    <hyperlink ref="H488" r:id="rId662" display="mailto:info@srtepc.in" xr:uid="{5D4FF161-F144-49CB-90FD-8C9685705B03}"/>
    <hyperlink ref="I488" r:id="rId663" display="https://srtepc.in/" xr:uid="{1254BBC7-F87C-4EF9-9F53-6FA4E477388C}"/>
    <hyperlink ref="I489" r:id="rId664" display="https://ril.com/" xr:uid="{19AE5106-4169-4B07-ABCB-1E5968EDCB48}"/>
    <hyperlink ref="I490" r:id="rId665" display="https://indoramaventures.com/" xr:uid="{482FCED3-BD6B-490E-AF5C-E149C79D53ED}"/>
    <hyperlink ref="H491" r:id="rId666" display="mailto:export@alokind.com" xr:uid="{EC1A2F0C-408D-48A0-8865-DF7EF3AFBF43}"/>
    <hyperlink ref="I491" r:id="rId667" display="https://alokind.com/" xr:uid="{A4F7ED7E-C65E-481E-A146-5CCA166A27F7}"/>
    <hyperlink ref="H492" r:id="rId668" display="mailto:export@filatex.com" xr:uid="{0EA272F2-CDD5-44C6-9FEF-86FCE677291C}"/>
    <hyperlink ref="I492" r:id="rId669" display="https://filatex.com/" xr:uid="{08FDA76B-5837-4FE9-9BA0-11E71A094047}"/>
    <hyperlink ref="I493" r:id="rId670" display="https://bhilosa.com/" xr:uid="{1CA8EA96-3FFB-400C-8BD1-5BF6AF3F9545}"/>
    <hyperlink ref="I494" r:id="rId671" display="https://jbfindia.com/" xr:uid="{C168D58E-FC8B-4A26-A792-1C3C00960807}"/>
    <hyperlink ref="I497" r:id="rId672" display="https://asfi.in/" xr:uid="{FD380805-2241-4E60-BB7B-57DCC34D2AF4}"/>
    <hyperlink ref="H499" r:id="rId673" display="mailto:info@srtepc.in" xr:uid="{0F62C4B0-CD74-4BFD-848C-CD152064A7FE}"/>
    <hyperlink ref="I499" r:id="rId674" display="https://srtepc.in/" xr:uid="{458BD2D6-9FAB-4C60-AEA7-33EBEF735792}"/>
    <hyperlink ref="I500" r:id="rId675" display="https://ril.com/" xr:uid="{1D5993A6-4D55-4735-BBA8-D2D259A56EB9}"/>
    <hyperlink ref="I501" r:id="rId676" display="https://indoramaventures.com/" xr:uid="{C7B22B43-BB12-44FD-92BF-B625558127A3}"/>
    <hyperlink ref="I502" r:id="rId677" display="https://vardhman.com/" xr:uid="{E2A590A3-37BF-4509-9892-0BC8068B76F7}"/>
    <hyperlink ref="I503" r:id="rId678" display="https://pasupatiacrylon.com/" xr:uid="{C1BE8F14-0BBE-49A8-B2A4-0B873800BEB3}"/>
    <hyperlink ref="I504" r:id="rId679" display="https://indianacrylics.com/" xr:uid="{1E6DFFEF-0B76-4131-ACA7-079BD2A599CB}"/>
    <hyperlink ref="I505" r:id="rId680" display="https://grasim.com/" xr:uid="{06598408-9915-43CF-8C99-9809FB525B62}"/>
    <hyperlink ref="I506" r:id="rId681" display="https://bombaydyeing.com/" xr:uid="{F11A8463-0C02-4CC1-AFF6-73FD1FA73D66}"/>
    <hyperlink ref="I507" r:id="rId682" display="https://ril.com/" xr:uid="{AAB59BC2-9FA1-434F-A4BF-910D1B8FA1F7}"/>
    <hyperlink ref="I509" r:id="rId683" display="https://asfi.in/" xr:uid="{5C6FC2D2-CCF8-48A1-BC06-11C1B30CFA47}"/>
    <hyperlink ref="H511" r:id="rId684" display="mailto:info@srtepc.in" xr:uid="{822493C3-AFDE-4514-9C85-34CB9FA960A7}"/>
    <hyperlink ref="I511" r:id="rId685" display="https://srtepc.in/" xr:uid="{F53846FB-E2FB-4C42-99EA-4472E80434CB}"/>
    <hyperlink ref="H512" r:id="rId686" display="mailto:info@nonwovensindia.com" xr:uid="{A2637D3D-ED21-411C-8388-5F6FE46BD658}"/>
    <hyperlink ref="I512" r:id="rId687" display="https://nonwovensindia.com/" xr:uid="{8A6C0297-6239-484E-8A01-2E1FD317ADF6}"/>
    <hyperlink ref="H513" r:id="rId688" display="mailto:export@ginnifilaments.com" xr:uid="{B89531D0-D7F8-494C-B6CC-D8B2F5C7B089}"/>
    <hyperlink ref="I513" r:id="rId689" display="https://ginnifilaments.com/" xr:uid="{BEA269A1-EEAA-405C-B5DA-ECC4970C9FAA}"/>
    <hyperlink ref="H514" r:id="rId690" display="mailto:export@pakona.com" xr:uid="{C3829295-F9B8-436E-8502-3AD2777FF897}"/>
    <hyperlink ref="I514" r:id="rId691" display="https://pakona.com/" xr:uid="{82C2FEA5-1319-43FD-AED8-86353013C24A}"/>
    <hyperlink ref="H515" r:id="rId692" display="mailto:export@favouritefab.com" xr:uid="{33CD420E-306A-4A20-9D97-30098EBD30BD}"/>
    <hyperlink ref="I515" r:id="rId693" display="https://favouritefab.com/" xr:uid="{F0F40728-54F7-4CFC-9284-CD4952BA02A0}"/>
    <hyperlink ref="H517" r:id="rId694" display="mailto:export@hgnonwoven.com" xr:uid="{1E578C8A-7722-408A-B7AB-FFCCA0B8196C}"/>
    <hyperlink ref="I517" r:id="rId695" display="https://hgnonwoven.com/" xr:uid="{8FC0A8F1-11B0-4DE3-9DAD-8F2AA29C29A3}"/>
    <hyperlink ref="I520" r:id="rId696" display="https://sasmira.org/" xr:uid="{41CAAC0A-81B9-46EF-9B5C-11D095C65818}"/>
    <hyperlink ref="H522" r:id="rId697" display="mailto:info@cepc.co.in" xr:uid="{FACF8EE8-ED12-429F-A5A4-0CF31A07B9F1}"/>
    <hyperlink ref="I522" r:id="rId698" display="https://cepc.co.in/" xr:uid="{63CDCCF0-E718-48EE-B298-B2ECEAD9AD74}"/>
    <hyperlink ref="H523" r:id="rId699" display="mailto:cepcbhadohi@cepc.co.in" xr:uid="{1D760778-10E0-4778-9EA4-1DEAE3602145}"/>
    <hyperlink ref="I523" r:id="rId700" display="https://cepc.co.in/" xr:uid="{2B659B28-B7F4-4755-8016-A43C29CDF534}"/>
    <hyperlink ref="H524" r:id="rId701" display="mailto:export@obeetee.com" xr:uid="{C1526CC5-DD40-471A-BF75-C631ACF8AE15}"/>
    <hyperlink ref="I524" r:id="rId702" display="https://obeetee.com/" xr:uid="{E7CC52F7-3617-4D36-A109-6D7F3F4528A0}"/>
    <hyperlink ref="H525" r:id="rId703" display="mailto:export@jaipurrugs.com" xr:uid="{55E445D2-C172-418E-84A6-EB782679B9CB}"/>
    <hyperlink ref="I525" r:id="rId704" display="https://jaipurrugs.com/" xr:uid="{B8FAB761-5601-4AB7-87F0-48CECB1127FE}"/>
    <hyperlink ref="H526" r:id="rId705" display="mailto:info@shardaexports.net" xr:uid="{8E1C38B9-B95F-426C-A6AC-8115F39F83E9}"/>
    <hyperlink ref="I526" r:id="rId706" display="https://shardaexports.net/" xr:uid="{B69849A8-72C6-41F7-BFEB-F983AD03385A}"/>
    <hyperlink ref="I527" r:id="rId707" display="https://kashyam.com/" xr:uid="{1EAFCF56-F1F0-4862-849B-D32B63109963}"/>
    <hyperlink ref="I529" r:id="rId708" display="https://rugsotic.com/" xr:uid="{0248A61B-DD6E-4928-AA2A-6E9BB608F697}"/>
    <hyperlink ref="H532" r:id="rId709" display="mailto:iictbhadohi@gmail.com" xr:uid="{C9B66FFB-EE58-4044-BC7F-DE7B7B1A5DE4}"/>
    <hyperlink ref="I532" r:id="rId710" display="https://iict.ac.in/" xr:uid="{806879CE-0000-43F5-A19E-F556E5CF3E45}"/>
    <hyperlink ref="H534" r:id="rId711" display="mailto:secy.texcom@nic.in" xr:uid="{DC714212-6122-4CCA-BC4A-24E8B2A5E563}"/>
    <hyperlink ref="I534" r:id="rId712" display="https://textilescommittee.nic.in/" xr:uid="{E745D11E-33C4-42B3-9205-894997DE098F}"/>
    <hyperlink ref="H535" r:id="rId713" display="mailto:info@pdexcil.org" xr:uid="{BC520564-6396-45A3-B737-CCAB8F21C15C}"/>
    <hyperlink ref="I535" r:id="rId714" display="https://pdexcil.org/" xr:uid="{59F421DC-0E3F-466C-8F32-DA5A618129C5}"/>
    <hyperlink ref="H539" r:id="rId715" display="mailto:export@prakashnarrow.com" xr:uid="{BF7CC734-4325-4609-9541-28300E51016B}"/>
    <hyperlink ref="H540" r:id="rId716" display="mailto:export@premcoglobal.com" xr:uid="{1E6358DA-9790-4AAF-A737-7E12062CCEDD}"/>
    <hyperlink ref="I540" r:id="rId717" display="https://premcoglobal.com/" xr:uid="{421904A3-3271-4D16-BF55-0E2205683A8F}"/>
    <hyperlink ref="I543" r:id="rId718" display="https://nift.ac.in/" xr:uid="{1AC822D9-926C-4037-91CC-C487BD9C9A82}"/>
    <hyperlink ref="H545" r:id="rId719" display="mailto:info@srtepc.in" xr:uid="{B176BCF8-882F-4C15-9AF6-9DB2C6E834BA}"/>
    <hyperlink ref="I545" r:id="rId720" display="https://srtepc.in/" xr:uid="{5A86B267-7211-423D-97C4-A1F1E0925D06}"/>
    <hyperlink ref="I546" r:id="rId721" display="https://technicaltextiles.gov.in/" xr:uid="{064F1F2D-94AA-453B-9F3C-43EDC6F3D9E1}"/>
    <hyperlink ref="H547" r:id="rId722" display="mailto:export@garwarefibres.com" xr:uid="{7BE29D2D-70C3-4C21-A4D1-62A46548A555}"/>
    <hyperlink ref="I547" r:id="rId723" display="https://garwarefibres.com/" xr:uid="{83961FB6-765B-4F71-9E7C-2145D3633BD5}"/>
    <hyperlink ref="H548" r:id="rId724" display="mailto:export@srf.com" xr:uid="{CEDDE516-7417-4D62-8D25-2970E2813187}"/>
    <hyperlink ref="I548" r:id="rId725" display="https://srf.com/" xr:uid="{0E5BAD03-50CC-48B3-BDDE-46E1D6BD988B}"/>
    <hyperlink ref="H549" r:id="rId726" display="mailto:export@responsiveindustries.com" xr:uid="{130584C4-CB59-4D6A-A57D-F1FD3C8D85C3}"/>
    <hyperlink ref="I549" r:id="rId727" display="https://responsiveindustries.com/" xr:uid="{53818BB6-C8A9-4471-9220-8841A9AD1C7F}"/>
    <hyperlink ref="I550" r:id="rId728" display="https://mehler-texnologies.com/" xr:uid="{33FBB120-6BE9-428E-97ED-E3BFB714DFEB}"/>
    <hyperlink ref="H551" r:id="rId729" display="mailto:export@kusumgar.com" xr:uid="{317D0364-611C-4ADE-A84D-572E2DE9B159}"/>
    <hyperlink ref="I551" r:id="rId730" display="https://kusumgar.com/" xr:uid="{6DF4485B-8D69-4B89-8692-6448A5F4ED74}"/>
    <hyperlink ref="I555" r:id="rId731" display="https://sasmira.org/" xr:uid="{70F5500B-022F-4FC5-885C-875D2B26F87B}"/>
    <hyperlink ref="H557" r:id="rId732" display="mailto:info@srtepc.in" xr:uid="{B4CE073A-572E-477C-B445-429606D5B502}"/>
    <hyperlink ref="I557" r:id="rId733" display="https://srtepc.in/" xr:uid="{1ED5C875-043F-41E4-A6F7-1A93C7982EF3}"/>
    <hyperlink ref="H558" r:id="rId734" display="mailto:tea@tirupurexporters.com" xr:uid="{B0F28988-7913-4B8A-B99E-C359C32AC67F}"/>
    <hyperlink ref="I558" r:id="rId735" display="https://tirupurexporters.com/" xr:uid="{60C8D318-2DC3-473E-9201-D3B640D74B18}"/>
    <hyperlink ref="H559" r:id="rId736" display="mailto:export@pratibhasyntex.com" xr:uid="{32EB9579-8773-4E3C-BA6C-BE562D832305}"/>
    <hyperlink ref="I559" r:id="rId737" display="https://pratibhasyntex.com/" xr:uid="{31D1755F-3928-46D1-83F2-054136FD69CB}"/>
    <hyperlink ref="H560" r:id="rId738" display="mailto:export@owmnahar.com" xr:uid="{4B44ADBD-FFAB-4615-A82B-AD07F6177DC8}"/>
    <hyperlink ref="I560" r:id="rId739" display="https://owmnahar.com/" xr:uid="{8724B605-77FF-4F8F-9835-E381B885B004}"/>
    <hyperlink ref="H561" r:id="rId740" display="mailto:export@pioneerembroideries.com" xr:uid="{44F51916-C5AC-44D4-ADDB-B6F267E5B3AF}"/>
    <hyperlink ref="I561" r:id="rId741" display="https://pioneerembroideries.com/" xr:uid="{ADCB2270-9880-4156-AFA6-C0D74280CB93}"/>
    <hyperlink ref="H562" r:id="rId742" display="mailto:export@bks-textiles.com" xr:uid="{58AEE2D3-1449-4E4A-9A27-CEFD390A3EF3}"/>
    <hyperlink ref="I562" r:id="rId743" display="https://bks-textiles.com/" xr:uid="{2C8F9FC3-C907-4B99-9C10-64D42F5070FD}"/>
    <hyperlink ref="H563" r:id="rId744" display="mailto:export@alokind.com" xr:uid="{F5ABA456-12BA-48ED-86F6-C124176330F1}"/>
    <hyperlink ref="I563" r:id="rId745" display="https://alokind.com/" xr:uid="{B5F05703-9CB8-40AA-90D8-29371FF7CD93}"/>
    <hyperlink ref="I564" r:id="rId746" display="https://shahi.co.in/" xr:uid="{7A98A1C4-D503-4663-AA5D-F223DBE15641}"/>
    <hyperlink ref="H567" r:id="rId747" display="mailto:sitra@vsnl.net" xr:uid="{E19E716C-00AA-484D-8085-0DBABAF2C1E6}"/>
    <hyperlink ref="I567" r:id="rId748" display="https://sitra.org.in/" xr:uid="{1D277B88-775E-4005-9987-CC19A07EE2DB}"/>
    <hyperlink ref="H569" r:id="rId749" display="mailto:info@aepcindia.com" xr:uid="{7FB7EF6B-A00D-4AC1-9C9E-E0CF653D36C2}"/>
    <hyperlink ref="I569" r:id="rId750" display="https://aepcindia.com/" xr:uid="{32700743-1F00-4C27-AB5C-1042D5AF9B68}"/>
    <hyperlink ref="H570" r:id="rId751" display="mailto:tea@tirupurexporters.com" xr:uid="{363303D9-1F16-4107-A99E-FA62A2C06469}"/>
    <hyperlink ref="I570" r:id="rId752" display="https://tirupurexporters.com/" xr:uid="{9AB53CD0-1A90-4BE9-9F36-F6CE232D1F20}"/>
    <hyperlink ref="H571" r:id="rId753" display="mailto:info@shahi.co.in" xr:uid="{CDDDF816-F63B-491B-81B7-28949B1E5002}"/>
    <hyperlink ref="I571" r:id="rId754" display="https://shahi.co.in/" xr:uid="{43F31D06-3DDC-4A08-A148-E01D3DBEA238}"/>
    <hyperlink ref="H572" r:id="rId755" display="mailto:export@gokaldasexports.com" xr:uid="{838C79D4-3466-446D-9233-01460D9FA271}"/>
    <hyperlink ref="I572" r:id="rId756" display="https://gokaldasexports.com/" xr:uid="{60A2C8A3-6DA7-4180-949F-49B4D0ADAFFD}"/>
    <hyperlink ref="H573" r:id="rId757" display="mailto:export@kprmill.com" xr:uid="{DD2C533B-7FE4-4401-A802-7FA0413A7124}"/>
    <hyperlink ref="I573" r:id="rId758" display="https://kprmilllimited.com/" xr:uid="{EDEB786C-01B2-4539-A5FE-5EECA76A8B1F}"/>
    <hyperlink ref="H574" r:id="rId759" display="mailto:export@pratibhasyntex.com" xr:uid="{4FC9D9F7-D1F3-4343-8A8B-61343C212E8E}"/>
    <hyperlink ref="I574" r:id="rId760" display="https://pratibhasyntex.com/" xr:uid="{CF0111CB-4B5A-4CF0-89CD-8C258549501F}"/>
    <hyperlink ref="H575" r:id="rId761" display="mailto:export@orientcraft.com" xr:uid="{6CD64A09-F36E-4023-AA21-53903B6478DD}"/>
    <hyperlink ref="I575" r:id="rId762" display="https://orientcraft.com/" xr:uid="{F4589266-C856-4296-96E2-20DB8E355534}"/>
    <hyperlink ref="H576" r:id="rId763" display="mailto:export@pearlglobal.com" xr:uid="{B44AF6DF-0D5F-44C7-B664-EAF7BFA4A384}"/>
    <hyperlink ref="I576" r:id="rId764" display="https://pearlglobal.com/" xr:uid="{6631724B-07AE-4403-A5EA-0465A67A4C8D}"/>
    <hyperlink ref="H577" r:id="rId765" display="mailto:export@eastmanexports.com" xr:uid="{F5A9BAA2-D2DA-4F1F-AE9B-800988810481}"/>
    <hyperlink ref="I577" r:id="rId766" display="https://eastmanexports.com/" xr:uid="{32066788-DEA5-4B9B-8B2B-16C8224432B7}"/>
    <hyperlink ref="I580" r:id="rId767" display="https://nift.ac.in/" xr:uid="{49695177-EB28-4118-9626-DA6F6F33AC47}"/>
    <hyperlink ref="H582" r:id="rId768" display="mailto:info@aepcindia.com" xr:uid="{3E882E43-CD4C-4AE0-BA68-76AC4C1A05B2}"/>
    <hyperlink ref="I582" r:id="rId769" display="https://aepcindia.com/" xr:uid="{CAE028F2-6726-4DB5-96AB-DFC8A6AB1D8D}"/>
    <hyperlink ref="H583" r:id="rId770" display="mailto:info@cmai.in" xr:uid="{A2BECBB8-4679-42F8-A816-6803200B771E}"/>
    <hyperlink ref="I583" r:id="rId771" display="https://cmai.in/" xr:uid="{5CB44E97-7A41-4383-9A23-4C624A587588}"/>
    <hyperlink ref="H584" r:id="rId772" display="mailto:info@shahi.co.in" xr:uid="{CC82CE0A-3C8C-42CD-8037-1A09A03E8B7C}"/>
    <hyperlink ref="I584" r:id="rId773" display="https://shahi.co.in/" xr:uid="{B851DEB5-8A4E-463E-91AD-46BD8752C46F}"/>
    <hyperlink ref="H585" r:id="rId774" display="mailto:export@arvind.com" xr:uid="{E891D8DD-10D3-4773-A09C-9BE6BF13D065}"/>
    <hyperlink ref="I585" r:id="rId775" display="https://arvindfashions.com/" xr:uid="{F2C2C5AE-6072-4D16-95D5-8FFABD2686AD}"/>
    <hyperlink ref="H586" r:id="rId776" display="mailto:export@raymond.in" xr:uid="{39D11C86-F1FC-478F-95C9-649FB4324D67}"/>
    <hyperlink ref="I586" r:id="rId777" display="https://raymond.in/" xr:uid="{01F4AC24-4A2F-4344-B9F5-50935BF56135}"/>
    <hyperlink ref="H587" r:id="rId778" display="mailto:export@gokaldasexports.com" xr:uid="{4ED7C6E6-8AD7-405D-9129-1E0FEFE6D128}"/>
    <hyperlink ref="I587" r:id="rId779" display="https://gokaldasexports.com/" xr:uid="{71635C74-D6D7-4047-978C-3E14857E025D}"/>
    <hyperlink ref="H588" r:id="rId780" display="mailto:export@orientcraft.com" xr:uid="{BB07BFE2-6168-4927-9094-3C2CFB8FCF9C}"/>
    <hyperlink ref="I588" r:id="rId781" display="https://orientcraft.com/" xr:uid="{15D4BCCC-5E87-405C-9B67-AB02538BA5B5}"/>
    <hyperlink ref="H589" r:id="rId782" display="mailto:export@richaglobal.com" xr:uid="{9F841D76-72B3-433C-9964-F02E016A93C6}"/>
    <hyperlink ref="I589" r:id="rId783" display="https://richaglobal.com/" xr:uid="{2141B5B3-CB1F-4801-87D9-415FF69A4104}"/>
    <hyperlink ref="H590" r:id="rId784" display="mailto:export@pearlglobal.com" xr:uid="{D58A6FC8-7BCA-4AB4-BBF0-3D6D3581F450}"/>
    <hyperlink ref="I590" r:id="rId785" display="https://pearlglobal.com/" xr:uid="{92FA73F3-039F-468D-8458-CBD5A3EEEACC}"/>
    <hyperlink ref="H591" r:id="rId786" display="mailto:naec@noidacluster.com" xr:uid="{29F80458-62D1-4962-810F-9F1F558CB7C8}"/>
    <hyperlink ref="I591" r:id="rId787" display="https://naecindia.com/" xr:uid="{E38889AE-39E8-42BE-8618-B74078C63D72}"/>
    <hyperlink ref="I593" r:id="rId788" display="https://nift.ac.in/" xr:uid="{0D6A93FD-91EA-41B4-ABE3-FF963592AB97}"/>
    <hyperlink ref="H595" r:id="rId789" display="mailto:hepc@hepcindia.com" xr:uid="{ED67097F-CF95-413E-A9F9-93A7025AFDB3}"/>
    <hyperlink ref="I595" r:id="rId790" display="https://hepcindia.com/" xr:uid="{38C459BC-BBC0-4057-8EFD-C83EBC2BF6D5}"/>
    <hyperlink ref="H596" r:id="rId791" display="mailto:info@pdexcil.org" xr:uid="{C06BFBD9-F0D6-43F7-8BA4-CDBDEDF9E313}"/>
    <hyperlink ref="I596" r:id="rId792" display="https://pdexcil.org/" xr:uid="{FC6E45B4-F018-4754-9A8A-5E42B72FFD12}"/>
    <hyperlink ref="H597" r:id="rId793" display="mailto:export@welspun.com" xr:uid="{8390CDFB-B3F1-4F19-BAD2-B6346E52F207}"/>
    <hyperlink ref="I597" r:id="rId794" display="https://welspun.com/" xr:uid="{013B9A04-408A-4B77-9727-00A9095CCF8D}"/>
    <hyperlink ref="H598" r:id="rId795" display="mailto:export@tridentindia.com" xr:uid="{CB80CF17-F5A7-4E6C-957F-478D980E05AC}"/>
    <hyperlink ref="I598" r:id="rId796" display="https://tridentindia.com/" xr:uid="{51632058-26B7-472A-9F3B-BC6050C2ED13}"/>
    <hyperlink ref="H599" r:id="rId797" display="mailto:export@himatsingka.com" xr:uid="{D081C669-02B4-47FE-ACA0-EE6F4B6206C5}"/>
    <hyperlink ref="I599" r:id="rId798" display="https://himatsingka.com/" xr:uid="{47A0758C-BFE6-4308-A4D2-348625043FE5}"/>
    <hyperlink ref="H600" r:id="rId799" display="mailto:export@indocount.com" xr:uid="{7729A2CE-FCAE-4866-8372-3D3C431E22AE}"/>
    <hyperlink ref="I600" r:id="rId800" display="https://indocount.com/" xr:uid="{7DDFFBFA-5E79-4B61-AE5E-CEC6B2AB6246}"/>
    <hyperlink ref="H601" r:id="rId801" display="mailto:export@ghcl.co.in" xr:uid="{47F39760-CABB-4BCD-AF31-D2AAC105DFAC}"/>
    <hyperlink ref="I601" r:id="rId802" display="https://ghcl.co.in/" xr:uid="{3A89767B-4DF9-4503-8D75-B06981C19FDB}"/>
    <hyperlink ref="I602" r:id="rId803" display="https://tridentindia.com/" xr:uid="{F2F252A0-C775-4C86-B2DD-0A6CF99A26B5}"/>
    <hyperlink ref="H603" r:id="rId804" display="mailto:export@alokind.com" xr:uid="{39E0431D-B7BB-409A-8461-1546C8361AD8}"/>
    <hyperlink ref="I603" r:id="rId805" display="https://alokind.com/" xr:uid="{34F0F016-0801-472D-8BC0-F8ED306A6B9E}"/>
    <hyperlink ref="I607" r:id="rId806" display="https://textilescommittee.nic.in/" xr:uid="{58B7421B-301D-4B29-879E-EAA777ED0D2C}"/>
    <hyperlink ref="H609" r:id="rId807" display="mailto:cle@leatherindia.org" xr:uid="{1E71C411-412A-4145-9BDF-22AEB443F109}"/>
    <hyperlink ref="I609" r:id="rId808" display="https://leatherindia.org/" xr:uid="{664920D7-4D7A-48A0-ABB5-09D8F4A1C88C}"/>
    <hyperlink ref="H610" r:id="rId809" display="mailto:info@cfla.in" xr:uid="{2B8D43B3-7250-4ACD-ABE6-D5F03DA9B4CD}"/>
    <hyperlink ref="I610" r:id="rId810" display="https://cfla.in/" xr:uid="{613941C8-C2C1-4026-A055-D043D3B2ACB6}"/>
    <hyperlink ref="H611" r:id="rId811" display="mailto:export@bata.com" xr:uid="{1140642C-A10D-4E2E-828B-3B02F156B586}"/>
    <hyperlink ref="I611" r:id="rId812" display="https://bata.in/" xr:uid="{6332EDCE-2B97-4035-9454-58C4E38D40DD}"/>
    <hyperlink ref="H612" r:id="rId813" display="mailto:export@libertyshoes.com" xr:uid="{A97047C6-F6FA-4192-95C8-C592B68B267F}"/>
    <hyperlink ref="I612" r:id="rId814" display="https://libertyshoes.com/" xr:uid="{EB446BAB-AA09-42C0-BA5F-A49969D190AE}"/>
    <hyperlink ref="H613" r:id="rId815" display="mailto:export@relaxofootwear.com" xr:uid="{5B85376A-8F12-424E-A96D-CA439CDED805}"/>
    <hyperlink ref="I613" r:id="rId816" display="https://relaxofootwear.com/" xr:uid="{32AF7BF9-1F90-4BA3-B78B-14A1B51340CD}"/>
    <hyperlink ref="H614" r:id="rId817" display="mailto:export@mirza.co.in" xr:uid="{E5B47D26-00EF-4A7E-9105-AEF6C885F900}"/>
    <hyperlink ref="I614" r:id="rId818" display="https://mirza.co.in/" xr:uid="{FB64F41A-DC33-4E89-BBBD-7A3FECEA9427}"/>
    <hyperlink ref="H615" r:id="rId819" display="mailto:export@vkcgroup.com" xr:uid="{8DE6F865-13DF-46E2-A6BB-E014BA4CBDAE}"/>
    <hyperlink ref="I615" r:id="rId820" display="https://vkcgroup.com/" xr:uid="{E294383C-3BB2-433B-907F-98A359492C80}"/>
    <hyperlink ref="H616" r:id="rId821" display="mailto:export@khadims.com" xr:uid="{26A5D932-AC21-45D6-83DD-28BFB70AA274}"/>
    <hyperlink ref="I616" r:id="rId822" display="https://khadims.com/" xr:uid="{4B297404-A0F9-4337-931D-AEFDF8245DE3}"/>
    <hyperlink ref="H617" r:id="rId823" display="mailto:export@campusactivewear.com" xr:uid="{B5335655-1CE3-4879-9878-EE77C5DF878B}"/>
    <hyperlink ref="I617" r:id="rId824" display="https://campusactivewear.com/" xr:uid="{5767EA23-FD20-4092-89D9-2903EE6F7700}"/>
    <hyperlink ref="H618" r:id="rId825" display="mailto:afmea@afmea.com" xr:uid="{B45BA250-32EB-4E42-A9E8-6995E68DE9AD}"/>
    <hyperlink ref="I618" r:id="rId826" display="https://afmea.com/" xr:uid="{6A60C94D-B2E5-49D9-B4E5-F2F4CDA65C22}"/>
    <hyperlink ref="H620" r:id="rId827" display="mailto:contact@fddiindia.com" xr:uid="{86C46936-CC2E-41F6-B240-569911703EC0}"/>
    <hyperlink ref="I620" r:id="rId828" display="https://fddiindia.com/" xr:uid="{5F6F5FB2-6AF3-41E2-8B82-8A08D2FF23B2}"/>
    <hyperlink ref="H622" r:id="rId829" display="mailto:info@epch.in" xr:uid="{8E821186-31DC-449D-92AA-D44F898D51BE}"/>
    <hyperlink ref="I622" r:id="rId830" display="https://epch.in/" xr:uid="{AB474A21-6B41-42BC-8551-ABCE865D27E1}"/>
    <hyperlink ref="H623" r:id="rId831" display="mailto:info@aepcindia.com" xr:uid="{FB137165-FE43-4236-9558-A4A5364A6DAC}"/>
    <hyperlink ref="I623" r:id="rId832" display="https://aepcindia.com/" xr:uid="{D411BEFA-DD7F-4C6E-B919-0CEC65FD65A6}"/>
    <hyperlink ref="H624" r:id="rId833" display="mailto:export@bharatcaps.com" xr:uid="{606AF8AC-928B-4758-8DB7-05CE97E02932}"/>
    <hyperlink ref="I625" r:id="rId834" display="https://dynamiccaps.com/" xr:uid="{2FDC19C5-F8CA-41C4-98AE-0E7AD0FF2ABF}"/>
    <hyperlink ref="I629" r:id="rId835" display="https://nift.ac.in/" xr:uid="{BD4DA115-8841-4659-8114-AF622088DABF}"/>
    <hyperlink ref="H631" r:id="rId836" display="mailto:info@epch.in" xr:uid="{2A4FD531-56B9-46BD-9BF8-CC037161F88B}"/>
    <hyperlink ref="I631" r:id="rId837" display="https://epch.in/" xr:uid="{B6E890A3-4A34-4E89-869F-717AC1E4C2D3}"/>
    <hyperlink ref="H632" r:id="rId838" display="mailto:info@plexconcil.org" xr:uid="{B89045F2-88CD-4E53-A599-B87AEB44E43E}"/>
    <hyperlink ref="I632" r:id="rId839" display="https://plexconcil.org/" xr:uid="{7A05EA21-44F6-4959-9519-72CA4A2B5F0C}"/>
    <hyperlink ref="H634" r:id="rId840" display="mailto:export@alokind.com" xr:uid="{72720174-096F-412E-B9FE-0F7DA2C6CFC1}"/>
    <hyperlink ref="I634" r:id="rId841" display="https://alokind.com/" xr:uid="{02850411-2A0D-4374-9A69-2CD9CE9D928D}"/>
    <hyperlink ref="H635" r:id="rId842" display="mailto:export@vipindustries.com" xr:uid="{4093AEC9-D607-4B2B-972D-81C200C14DCE}"/>
    <hyperlink ref="I635" r:id="rId843" display="https://vipindustries.com/" xr:uid="{3345556D-7593-48B5-824B-32242BB3AEF2}"/>
    <hyperlink ref="H641" r:id="rId844" display="mailto:info@epch.in" xr:uid="{1F4535F8-F6C7-4D69-AF38-B4DFF191EFA3}"/>
    <hyperlink ref="I641" r:id="rId845" display="https://epch.in/" xr:uid="{D6A2C527-1B07-492F-AED6-55745B7C8199}"/>
    <hyperlink ref="H642" r:id="rId846" display="mailto:ncdpd@ncdpd.in" xr:uid="{07696D5A-DFAF-4266-A7AD-240608EE6BC6}"/>
    <hyperlink ref="I642" r:id="rId847" display="https://ncdpd.in/" xr:uid="{A6C93CD0-9961-4380-A5C2-D0D95140B189}"/>
    <hyperlink ref="H643" r:id="rId848" display="mailto:nift.ho@nift.ac.in" xr:uid="{3735DABD-FACC-456F-9A11-40083E99A2BF}"/>
    <hyperlink ref="I643" r:id="rId849" display="https://nift.ac.in/" xr:uid="{A034D06A-E2C4-4898-A113-4C61154B6DAD}"/>
    <hyperlink ref="H649" r:id="rId850" display="mailto:info@featherindia.com" xr:uid="{7FD28A6B-9916-4317-A04E-48D53C292991}"/>
    <hyperlink ref="H655" r:id="rId851" display="mailto:info@capexil.in" xr:uid="{A3B69F54-6016-414F-9B2C-84FA86334A82}"/>
    <hyperlink ref="I655" r:id="rId852" display="https://capexil.in/" xr:uid="{EACE452D-58B8-4912-8472-2420092CC48D}"/>
    <hyperlink ref="H656" r:id="rId853" display="mailto:jaipur@capexil.in" xr:uid="{66D7FBBB-E08C-46A3-BFA9-23EA1BBFC9A8}"/>
    <hyperlink ref="I656" r:id="rId854" display="https://capexil.in/" xr:uid="{C4E85F91-574C-429A-9EE1-542361BC1D4F}"/>
    <hyperlink ref="H657" r:id="rId855" display="mailto:info@cdos-india.com" xr:uid="{13BA6408-26CF-474E-B91F-1A5D90626C75}"/>
    <hyperlink ref="I657" r:id="rId856" display="https://cdos-india.com/" xr:uid="{9A8D846B-FF3E-4D83-B4F3-598F839856CC}"/>
    <hyperlink ref="H658" r:id="rId857" display="mailto:aigsa@aigsa.org" xr:uid="{0A993FA7-1021-45CA-AFF1-9B33372A9477}"/>
    <hyperlink ref="I658" r:id="rId858" display="https://aigsa.org/" xr:uid="{0DD552C1-8E47-4B82-9EAE-E8A22CE091F7}"/>
    <hyperlink ref="I660" r:id="rId859" display="https://cdos-india.com/" xr:uid="{D4CBD4D3-8638-4CDA-B7B5-93C9D7CDFCC6}"/>
    <hyperlink ref="H664" r:id="rId860" display="mailto:info@rkmarble.com" xr:uid="{876D3A87-A6DE-455D-88ED-0E6C8B7864A3}"/>
    <hyperlink ref="I664" r:id="rId861" display="https://rkmarble.com/" xr:uid="{A9F5E7F3-6AAC-471D-8F79-59B5218229DB}"/>
    <hyperlink ref="H665" r:id="rId862" display="mailto:info@stonexindia.com" xr:uid="{061E9551-9015-4DB3-B5F6-FB4A616E4F71}"/>
    <hyperlink ref="I665" r:id="rId863" display="https://stonexindia.com/" xr:uid="{C3D7A32D-110A-4345-9513-0AE52CAB1DF1}"/>
    <hyperlink ref="H666" r:id="rId864" display="mailto:info@pokarna.com" xr:uid="{FC92EE6B-CC77-4381-9F1D-136625FA4C37}"/>
    <hyperlink ref="I666" r:id="rId865" display="https://pokarna.com/" xr:uid="{A8897FE5-5694-4A55-9C61-DF6A43D47A24}"/>
    <hyperlink ref="H667" r:id="rId866" display="mailto:info@asiangranito.com" xr:uid="{A7CB60F3-957F-4EAF-BFA5-F7452CFCDDED}"/>
    <hyperlink ref="I667" r:id="rId867" display="https://asiangranito.com/" xr:uid="{4B228676-8C8B-4000-BB8B-DC013DC56671}"/>
    <hyperlink ref="H668" r:id="rId868" display="mailto:info@madhavmarble.com" xr:uid="{BD2009CD-A292-4DDA-A130-8BFA2EAC12EC}"/>
    <hyperlink ref="I668" r:id="rId869" display="https://madhavmarble.com/" xr:uid="{67386EEE-63BD-40D1-840D-95ED3D76F35C}"/>
    <hyperlink ref="H671" r:id="rId870" display="mailto:info@capexil.in" xr:uid="{B58DB327-CAD3-4405-8988-A19F11BBC90E}"/>
    <hyperlink ref="I671" r:id="rId871" display="https://capexil.in/" xr:uid="{0975250C-86D6-4AB7-A46A-0AAB7D392071}"/>
    <hyperlink ref="H672" r:id="rId872" display="mailto:morbi@capexil.in" xr:uid="{0650F15C-3DF4-4B49-B33B-0C809C585878}"/>
    <hyperlink ref="I672" r:id="rId873" display="https://capexil.in/" xr:uid="{19D5B248-E478-409A-A926-63D29BBF6729}"/>
    <hyperlink ref="H673" r:id="rId874" display="mailto:info@icctas.com" xr:uid="{4C8583C6-4992-485F-8C37-E9F603280C65}"/>
    <hyperlink ref="I673" r:id="rId875" display="https://icctas.com/" xr:uid="{0197F0EA-8FEE-4879-94A0-5DB4B64AB676}"/>
    <hyperlink ref="H676" r:id="rId876" display="mailto:director@cgcri.res.in" xr:uid="{BD03FF70-B52D-455F-B6F3-F47C60ED15AF}"/>
    <hyperlink ref="I676" r:id="rId877" display="https://cgcri.res.in/" xr:uid="{AFB925B8-C731-4249-AF3E-2FD1863A33FF}"/>
    <hyperlink ref="H679" r:id="rId878" display="mailto:info@somanyceramics.com" xr:uid="{BD79B8CD-27E0-4397-8CE0-E1DE47F2DE7A}"/>
    <hyperlink ref="I679" r:id="rId879" display="https://somanyceramics.com/" xr:uid="{576A0E55-9C53-4ADF-A7D8-F3412EDA35B2}"/>
    <hyperlink ref="H680" r:id="rId880" display="mailto:info@kajariaceramics.com" xr:uid="{F008E24D-5340-400E-A39F-C1CF8CBC20E6}"/>
    <hyperlink ref="I680" r:id="rId881" display="https://kajariaceramics.com/" xr:uid="{560B94DF-B203-4D33-AD61-16EC5276D8C6}"/>
    <hyperlink ref="H682" r:id="rId882" display="mailto:info@cera-india.com" xr:uid="{6454AF8F-9AAD-4BBE-BAE0-E7F4AF584D22}"/>
    <hyperlink ref="I682" r:id="rId883" display="https://cera-india.com/" xr:uid="{7FEC4C0B-761B-46AF-A71B-990695014866}"/>
    <hyperlink ref="H683" r:id="rId884" display="mailto:info@asiangranito.com" xr:uid="{6ED68597-AE7C-4CB9-9B7F-3D2C48084629}"/>
    <hyperlink ref="I683" r:id="rId885" display="https://asiangranito.com/" xr:uid="{7DC0D3A1-452D-4951-AE26-97D2BF569654}"/>
    <hyperlink ref="H687" r:id="rId886" display="mailto:info@capexil.in" xr:uid="{DD6E0680-D316-4DE5-8B32-942406876FD7}"/>
    <hyperlink ref="I687" r:id="rId887" display="https://capexil.in/" xr:uid="{BDD01E7A-7C35-472A-825C-81D94EF79774}"/>
    <hyperlink ref="H688" r:id="rId888" display="mailto:firozabad@capexil.in" xr:uid="{9245B173-D001-444E-82F8-218AE882DA50}"/>
    <hyperlink ref="I688" r:id="rId889" display="https://capexil.in/" xr:uid="{F7C80192-1090-40CF-A852-BA4037E75301}"/>
    <hyperlink ref="H689" r:id="rId890" display="mailto:aigmf@aigmf.in" xr:uid="{932883BF-2F68-4C51-A508-1401858FD404}"/>
    <hyperlink ref="I689" r:id="rId891" display="https://aigmf.in/" xr:uid="{9EE74B73-C092-41C4-8CD9-D820FCD4C0D7}"/>
    <hyperlink ref="H691" r:id="rId892" display="mailto:director@cgcri.res.in" xr:uid="{7499D3EF-3749-4CB7-8EC5-A85F7FAD07F0}"/>
    <hyperlink ref="I691" r:id="rId893" display="https://cgcri.res.in/" xr:uid="{5040F956-B4DC-498F-B490-32D2CB0AFA04}"/>
    <hyperlink ref="H693" r:id="rId894" display="mailto:info@borosil.com" xr:uid="{E42D5F7A-55ED-48D6-9F0C-BAC42ABD8894}"/>
    <hyperlink ref="I693" r:id="rId895" display="https://borosil.com/" xr:uid="{A8B7F899-2AB8-4EEB-ADD2-4F115D63C66D}"/>
    <hyperlink ref="H694" r:id="rId896" display="mailto:info@laopala.in" xr:uid="{21E87E09-10E8-4C6B-A1C1-D9C800F90131}"/>
    <hyperlink ref="I694" r:id="rId897" display="https://laopala.in/" xr:uid="{96299960-26D0-48BC-9466-362CE7A55C1F}"/>
    <hyperlink ref="H695" r:id="rId898" display="mailto:info@aisglass.com" xr:uid="{9FD7E3AE-55E2-4E09-B3D6-A1847FE7B810}"/>
    <hyperlink ref="I695" r:id="rId899" display="https://aisglass.com/" xr:uid="{6BD3EAB4-B5BC-407A-A332-0AF12C3FB6D7}"/>
    <hyperlink ref="H701" r:id="rId900" display="mailto:info@gjepcindia.com" xr:uid="{8F134CBB-5568-4BEB-949A-86882F7A96BE}"/>
    <hyperlink ref="I701" r:id="rId901" display="https://gjepc.org/" xr:uid="{5B5D229A-8A76-477D-961B-5DEBFF048F05}"/>
    <hyperlink ref="H702" r:id="rId902" display="mailto:surat@gjepcindia.com" xr:uid="{203A55EB-1309-4E65-8919-587B2C6349D4}"/>
    <hyperlink ref="I702" r:id="rId903" display="https://gjepc.org/" xr:uid="{1F669B39-8B85-4D64-9B55-659B4B67CD3D}"/>
    <hyperlink ref="H703" r:id="rId904" display="mailto:jaipur@gjepcindia.com" xr:uid="{3D37250D-D403-4437-8033-83E319AA1105}"/>
    <hyperlink ref="I703" r:id="rId905" display="https://gjepc.org/" xr:uid="{85AB2D80-0E72-4AD2-84BF-FEBB1DE0EF2A}"/>
    <hyperlink ref="H704" r:id="rId906" display="mailto:info@iigj.org" xr:uid="{2863F199-F6CA-4939-9A9B-325D89E29C7C}"/>
    <hyperlink ref="I704" r:id="rId907" display="https://iigj.org/" xr:uid="{BAA6A1F8-9BDB-4AE3-9079-79367BCA5CC2}"/>
    <hyperlink ref="H705" r:id="rId908" display="mailto:gtl@gov.in" xr:uid="{97DDF434-D6F7-4FB7-921F-62F2C387F9B5}"/>
    <hyperlink ref="H706" r:id="rId909" display="mailto:info@gjc.org.in" xr:uid="{FA111ADC-0595-41A4-B67B-AF5B45D5C8B1}"/>
    <hyperlink ref="I706" r:id="rId910" display="https://gjc.org.in/" xr:uid="{946C3C9D-8848-4CEB-BA3A-B908AEA3D8DB}"/>
    <hyperlink ref="H709" r:id="rId911" display="mailto:info@hk.co" xr:uid="{19A32712-829E-4AAA-A3BB-172955AB7611}"/>
    <hyperlink ref="I709" r:id="rId912" display="https://hk.co/" xr:uid="{724D1C7E-509D-431C-BA47-59F82C19F4DD}"/>
    <hyperlink ref="H711" r:id="rId913" display="mailto:info@rajeshindia.com" xr:uid="{320471A7-E742-43D6-B9AB-B061AB030D58}"/>
    <hyperlink ref="I711" r:id="rId914" display="https://rajeshindia.com/" xr:uid="{C7970C46-17D8-42C7-89D4-2E22F21A5D4A}"/>
    <hyperlink ref="H712" r:id="rId915" display="mailto:info@malabargold.com" xr:uid="{EC07A7F1-8574-4347-A62F-04AEF1BA2377}"/>
    <hyperlink ref="I712" r:id="rId916" display="https://malabargold.com/" xr:uid="{5FD0B243-19C5-44FB-971A-AD31BC15E3A7}"/>
    <hyperlink ref="H716" r:id="rId917" display="mailto:info@epch.in" xr:uid="{E952CF0F-09F7-481B-A9E8-C9108EF71579}"/>
    <hyperlink ref="I716" r:id="rId918" display="https://epch.in/" xr:uid="{F8781DA2-572A-4C5A-B9BF-BB315B42285E}"/>
    <hyperlink ref="H717" r:id="rId919" display="mailto:eepcho@eepcindia.net" xr:uid="{17AC33E3-D1FE-4895-B384-1216B06E03AD}"/>
    <hyperlink ref="I717" r:id="rId920" display="https://eepcindia.org/" xr:uid="{97E566EB-D818-4E45-9A62-C0692E394DDF}"/>
    <hyperlink ref="H718" r:id="rId921" display="mailto:htai@handtoolsindia.org" xr:uid="{6AFF886A-811B-4743-B403-37AAA58019D9}"/>
    <hyperlink ref="H721" r:id="rId922" display="mailto:nid@nid.edu" xr:uid="{74B46BB8-69FF-490C-9D09-8740B9DF9009}"/>
    <hyperlink ref="I721" r:id="rId923" display="https://nid.edu/" xr:uid="{3F0668F0-8A99-41D4-A2F9-7FDE8B968D83}"/>
    <hyperlink ref="H722" r:id="rId924" display="mailto:info@tapariatools.com" xr:uid="{33804EE6-5F5A-4EF5-97AA-1FFC1D875F26}"/>
    <hyperlink ref="I722" r:id="rId925" display="https://tapariatools.com/" xr:uid="{366DBFA5-CB0C-4A0A-898F-55544C5AD623}"/>
    <hyperlink ref="I729" r:id="rId926" display="https://capexil.in/" xr:uid="{7D8A7DC6-DB3C-4DCF-B446-4AA22901FCE3}"/>
    <hyperlink ref="H730" r:id="rId927" display="mailto:info@capexil.in" xr:uid="{4B381E4C-18D3-4639-AA39-334995816C1B}"/>
    <hyperlink ref="I730" r:id="rId928" display="https://capexil.in/" xr:uid="{0421F72C-B24D-44DB-8AE1-97AF8797BB1A}"/>
    <hyperlink ref="H731" r:id="rId929" display="mailto:info@escindia.in" xr:uid="{421AB66E-1990-497C-A01D-4FFFF29AF184}"/>
    <hyperlink ref="I731" r:id="rId930" display="https://escindia.in/" xr:uid="{63B0F7BA-2F20-4DFA-AC58-045ADBD57FAE}"/>
    <hyperlink ref="H733" r:id="rId931" display="mailto:info@titan.co.in" xr:uid="{656012D7-6AC6-4273-ADC8-933F8AE939DF}"/>
    <hyperlink ref="I733" r:id="rId932" display="https://titan.co.in/" xr:uid="{141D2284-3A60-4E4E-99A9-FC060F515060}"/>
    <hyperlink ref="H740" r:id="rId933" display="mailto:nift.ho@nift.ac.in" xr:uid="{FC2F9E2C-8F1D-4D10-9967-E3C8A577A99A}"/>
    <hyperlink ref="I740" r:id="rId934" display="https://nift.ac.in/" xr:uid="{DE0AF3C3-3A35-44E4-B422-4C1BA046DA4E}"/>
    <hyperlink ref="H742" r:id="rId935" display="mailto:info@epch.in" xr:uid="{E42E18CE-F22B-4DD7-BEAD-B82D10AC199B}"/>
    <hyperlink ref="I742" r:id="rId936" display="https://epch.in/" xr:uid="{3F1DCF4A-9C81-44BC-803C-DDE2C7CDD82D}"/>
    <hyperlink ref="H743" r:id="rId937" display="mailto:hepc@hepcindia.com" xr:uid="{653DBA81-D02B-4044-9E8B-911F145CA0A2}"/>
    <hyperlink ref="I743" r:id="rId938" display="https://hepcindia.org/" xr:uid="{CEF7C11C-0451-4ED4-8FD1-F049BE100C50}"/>
    <hyperlink ref="H748" r:id="rId939" display="mailto:nid@nid.edu" xr:uid="{F91D1A42-950A-4222-B1E3-9FBFA094048E}"/>
    <hyperlink ref="I748" r:id="rId940" display="https://nid.edu/" xr:uid="{BB95F127-F850-43A6-BADA-DE0169CDF50B}"/>
    <hyperlink ref="H749" r:id="rId941" display="mailto:info@rikhiram.com" xr:uid="{080CC866-A31E-48DD-B882-B7B006C63858}"/>
    <hyperlink ref="I749" r:id="rId942" display="https://rikhiram.com/" xr:uid="{7EDDA351-1D6A-4CD9-AF2A-ED6B38B031BF}"/>
    <hyperlink ref="H757" r:id="rId943" display="mailto:info@epch.in" xr:uid="{D983E8BA-0FC1-42DE-86A1-2222A241C0C4}"/>
    <hyperlink ref="I757" r:id="rId944" display="https://epch.in/" xr:uid="{0B3BDBF6-123E-44CC-9BAF-D61210607A07}"/>
    <hyperlink ref="H762" r:id="rId945" display="mailto:ncdpd@ncdpd.in" xr:uid="{6AA03316-4CA7-4366-93F7-B3F54F933D06}"/>
    <hyperlink ref="I762" r:id="rId946" display="https://ncdpd.in/" xr:uid="{DC007F14-0637-44EE-AE18-CBF9C60612C2}"/>
    <hyperlink ref="H764" r:id="rId947" display="mailto:interio@godrej.com" xr:uid="{AF7D2D62-AE4A-457A-B131-4F7FFFCE382E}"/>
    <hyperlink ref="I764" r:id="rId948" display="https://godrejinterio.com/" xr:uid="{318EF84B-9DEB-4178-AAEC-1D8CE4BB4182}"/>
    <hyperlink ref="H765" r:id="rId949" display="mailto:info@nilkamal.com" xr:uid="{56DAB402-80B7-436D-A905-58F2B94FEC36}"/>
    <hyperlink ref="I765" r:id="rId950" display="https://nilkamal.com/" xr:uid="{FA1FE5E2-7B33-447A-ACCA-35FBEEFEE4BD}"/>
    <hyperlink ref="H766" r:id="rId951" display="mailto:info@zuarifurniture.com" xr:uid="{2C8F159B-2C45-4C0B-9C80-703253797FD9}"/>
    <hyperlink ref="I766" r:id="rId952" display="https://zuarifurniture.com/" xr:uid="{B8BF2354-03D7-42E6-B19B-4FE5D5DCEF9A}"/>
    <hyperlink ref="H772" r:id="rId953" display="mailto:info@epch.in" xr:uid="{F5A77F49-3ECF-43D6-9AB0-92E474AA51B9}"/>
    <hyperlink ref="I772" r:id="rId954" display="https://epch.in/" xr:uid="{98452CCB-7A4C-40CC-BEBD-A958FF04BD87}"/>
    <hyperlink ref="H773" r:id="rId955" display="mailto:info@toyassociationofindia.org" xr:uid="{93ADAAB1-AED6-4152-890F-8DD248D26299}"/>
    <hyperlink ref="I773" r:id="rId956" display="https://toyassociationofindia.org/" xr:uid="{8738CBC6-DDDB-4D63-A8BF-76651070C1A7}"/>
    <hyperlink ref="H774" r:id="rId957" display="mailto:info@sgepc.in" xr:uid="{A5366377-4244-46E0-A9F3-578C1046DC53}"/>
    <hyperlink ref="I774" r:id="rId958" display="https://sportsgoodsindia.org/" xr:uid="{5F0B7CEE-3B57-4E8C-8177-FC81ED6B3721}"/>
    <hyperlink ref="H323" r:id="rId959" display="mailto:info@eoai.in" xr:uid="{872BEA98-CD8F-4928-A9D9-85F18E9EAFC6}"/>
    <hyperlink ref="I323" r:id="rId960" display="https://eoai.in/" xr:uid="{31CB251C-FEF9-48AD-8364-CA00DD620218}"/>
    <hyperlink ref="H324" r:id="rId961" display="mailto:info@fafai.in" xr:uid="{1B1585E0-9473-4075-BD87-2C4E867389F0}"/>
    <hyperlink ref="I324" r:id="rId962" display="https://fafai.in/" xr:uid="{FA35CB70-4CEE-48C1-B1D9-3A8F62047693}"/>
    <hyperlink ref="H326" r:id="rId963" display="mailto:info@mlramnarain.com" xr:uid="{CD9F1317-0B3F-4C02-BD39-17DBEB70D386}"/>
    <hyperlink ref="I326" r:id="rId964" display="https://mlramnarain.com/" xr:uid="{0EFB37B4-A73E-402A-85C3-0F88E14DCE99}"/>
    <hyperlink ref="H329" r:id="rId965" display="mailto:export@premhenna.com" xr:uid="{75326D90-E25D-4A40-99DA-6C943DA08450}"/>
    <hyperlink ref="I329" r:id="rId966" display="https://premhenna.com/" xr:uid="{A662646F-B64A-4B08-AB25-5FE1C4C4A10F}"/>
    <hyperlink ref="H330" r:id="rId967" display="mailto:export@khadiindia.net" xr:uid="{D6598229-843B-40C1-BCC1-8629871068A4}"/>
    <hyperlink ref="I330" r:id="rId968" display="https://khadiindia.net/" xr:uid="{29834AF7-8DCB-4DB8-95B2-6C0C573E6895}"/>
    <hyperlink ref="I331" r:id="rId969" display="https://aromatreasure.com/" xr:uid="{841517E5-D732-493C-B936-662BA79C211F}"/>
    <hyperlink ref="H333" r:id="rId970" display="mailto:director@cimap.res.in" xr:uid="{FB324695-223B-44F6-82BE-D66156FEA55B}"/>
    <hyperlink ref="I333" r:id="rId971" display="https://cimap.res.in/" xr:uid="{64B8C8F9-AEBA-44EB-B64A-12B85303C462}"/>
    <hyperlink ref="I3" r:id="rId972" display="https://apeda.gov.in/" xr:uid="{492CA909-E2BE-4AE2-B4F2-E1A828D00990}"/>
    <hyperlink ref="H3" r:id="rId973" display="mailto:chairman@apeda.gov.in" xr:uid="{CC248B99-A64E-43F0-BD89-914063E27A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2025-12-06T17:46:46Z</dcterms:modified>
</cp:coreProperties>
</file>